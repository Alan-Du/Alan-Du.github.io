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ACM05\Desktop\"/>
    </mc:Choice>
  </mc:AlternateContent>
  <xr:revisionPtr revIDLastSave="0" documentId="13_ncr:1_{B46FFCA3-41E9-46B1-8DCF-1F35A2B4BEAB}" xr6:coauthVersionLast="44" xr6:coauthVersionMax="44" xr10:uidLastSave="{00000000-0000-0000-0000-000000000000}"/>
  <bookViews>
    <workbookView xWindow="-120" yWindow="-120" windowWidth="16440" windowHeight="28440" xr2:uid="{00000000-000D-0000-FFFF-FFFF00000000}"/>
  </bookViews>
  <sheets>
    <sheet name="Instruction" sheetId="11" r:id="rId1"/>
    <sheet name="GUI" sheetId="10" r:id="rId2"/>
    <sheet name="Summary" sheetId="2" r:id="rId3"/>
    <sheet name="Sortable_TB" sheetId="9" r:id="rId4"/>
    <sheet name="Data" sheetId="1" r:id="rId5"/>
    <sheet name="PivoteTB" sheetId="8" r:id="rId6"/>
  </sheets>
  <functionGroups builtInGroupCount="19"/>
  <definedNames>
    <definedName name="_xlnm._FilterDatabase" localSheetId="4" hidden="1">Data!$B$1:$U$24</definedName>
    <definedName name="action">GUI!$B$5</definedName>
    <definedName name="lookup">GUI!$B$22</definedName>
    <definedName name="myquery" localSheetId="2" hidden="1">Summary!#REF!</definedName>
    <definedName name="_xlnm.Print_Area" localSheetId="2">Summary!$A:$G</definedName>
    <definedName name="raw_data">Data!$A:$U</definedName>
    <definedName name="search">GUI!$B$32</definedName>
    <definedName name="search2">GUI!$B$33</definedName>
  </definedNames>
  <calcPr calcId="181029" calcMode="manual" calcCompleted="0" calcOnSave="0"/>
  <pivotCaches>
    <pivotCache cacheId="26" r:id="rId7"/>
    <pivotCache cacheId="29" r:id="rId8"/>
    <pivotCache cacheId="32" r:id="rId9"/>
    <pivotCache cacheId="35" r:id="rId10"/>
    <pivotCache cacheId="38" r:id="rId11"/>
    <pivotCache cacheId="41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G2" i="2" l="1"/>
</calcChain>
</file>

<file path=xl/sharedStrings.xml><?xml version="1.0" encoding="utf-8"?>
<sst xmlns="http://schemas.openxmlformats.org/spreadsheetml/2006/main" count="826" uniqueCount="374">
  <si>
    <t>Account Name</t>
  </si>
  <si>
    <t>First Name</t>
  </si>
  <si>
    <t>Last Name</t>
  </si>
  <si>
    <t>Title</t>
  </si>
  <si>
    <t>Office Phone</t>
  </si>
  <si>
    <t>Email Address</t>
  </si>
  <si>
    <t>Primary Street Address</t>
  </si>
  <si>
    <t>Primary Address City</t>
  </si>
  <si>
    <t>Primary Address Country</t>
  </si>
  <si>
    <t>AUM</t>
  </si>
  <si>
    <t>Source</t>
  </si>
  <si>
    <t>Date Sent</t>
  </si>
  <si>
    <t>Last Date sent</t>
  </si>
  <si>
    <t>Status</t>
  </si>
  <si>
    <t>Description</t>
  </si>
  <si>
    <t>Comments1</t>
  </si>
  <si>
    <t>Comments2</t>
  </si>
  <si>
    <t>Comments3</t>
  </si>
  <si>
    <t>Comments4</t>
  </si>
  <si>
    <t>Comments5</t>
  </si>
  <si>
    <t>United States of America</t>
  </si>
  <si>
    <t>Canada</t>
  </si>
  <si>
    <t>Contacted, need a follow up</t>
  </si>
  <si>
    <t>United Kingdom</t>
  </si>
  <si>
    <t>Meeting</t>
  </si>
  <si>
    <t>Not Suitable</t>
  </si>
  <si>
    <t>Record Lookup</t>
  </si>
  <si>
    <t>ID</t>
  </si>
  <si>
    <t>Action</t>
  </si>
  <si>
    <t>Current Statistics</t>
  </si>
  <si>
    <t>Total Record</t>
  </si>
  <si>
    <t>Total Country</t>
  </si>
  <si>
    <t>Total City</t>
  </si>
  <si>
    <t>Lastest Date Sent</t>
  </si>
  <si>
    <t>Record Search</t>
  </si>
  <si>
    <t>By</t>
  </si>
  <si>
    <t>On Value</t>
  </si>
  <si>
    <t>CIO</t>
  </si>
  <si>
    <t>RS</t>
  </si>
  <si>
    <t>Murano</t>
  </si>
  <si>
    <t>RS LI</t>
  </si>
  <si>
    <t>Victoria BC</t>
  </si>
  <si>
    <t>Bristol/ London</t>
  </si>
  <si>
    <t>Pension Fund</t>
  </si>
  <si>
    <t>Providing updates since 2/8/2018</t>
  </si>
  <si>
    <t>New York</t>
  </si>
  <si>
    <t xml:space="preserve">research@bluegreencap.com </t>
  </si>
  <si>
    <t>Confirmed receipt of info</t>
  </si>
  <si>
    <t>mujtaba@bessemer.com</t>
  </si>
  <si>
    <t>Rejected - following up on Murano side.</t>
  </si>
  <si>
    <t>mnatoli@efg-am.com</t>
  </si>
  <si>
    <t>Monte-Carlo</t>
  </si>
  <si>
    <t>Monaco</t>
  </si>
  <si>
    <t>sbennett@bganyc.com</t>
  </si>
  <si>
    <t>Currency</t>
  </si>
  <si>
    <t>AUM(MM)</t>
  </si>
  <si>
    <t>USD</t>
  </si>
  <si>
    <t>EUR</t>
  </si>
  <si>
    <t>GBP</t>
  </si>
  <si>
    <t>Row Labels</t>
  </si>
  <si>
    <t>Grand Total</t>
  </si>
  <si>
    <t>Sum of AUM(MM)</t>
  </si>
  <si>
    <t>Count of Primary Address Country</t>
  </si>
  <si>
    <t>Count of Primary Address City</t>
  </si>
  <si>
    <t>Qtr1</t>
  </si>
  <si>
    <t>Qtr3</t>
  </si>
  <si>
    <t>2018</t>
  </si>
  <si>
    <t>Qtr2</t>
  </si>
  <si>
    <t>Jul</t>
  </si>
  <si>
    <t>2019</t>
  </si>
  <si>
    <t>Count of Date Sent</t>
  </si>
  <si>
    <t>Count of Last Date sent</t>
  </si>
  <si>
    <t>Sample EXCEL based CRM</t>
  </si>
  <si>
    <t>How to use this CRM(Client Relationship Management)</t>
  </si>
  <si>
    <t>Structure Outline:</t>
  </si>
  <si>
    <t>1&gt; GUI page is the interface for this CRM which implements with record search/lookup and modify/insert/delete</t>
  </si>
  <si>
    <t>2&gt; There are two buttons with DB management which can be linked to users database</t>
  </si>
  <si>
    <t>How to run:</t>
  </si>
  <si>
    <t>1&gt; For insert:</t>
  </si>
  <si>
    <t>After make sure all information is correct, click on "Update record" button which will also generate a ID for this record</t>
  </si>
  <si>
    <t>Type in all information except the first one "ID" which will be auto generated latter with "name+country" style in backend</t>
  </si>
  <si>
    <t>2&gt; For update:</t>
  </si>
  <si>
    <t xml:space="preserve">After choose Insert from dropdown list all information will be blank for insert block </t>
  </si>
  <si>
    <t xml:space="preserve">After choose update from dropdown list all information with the record in record lookup section will be auto filled </t>
  </si>
  <si>
    <t>Change any information here and leave the "ID" entry unchanged which will be auto generated latter</t>
  </si>
  <si>
    <t>3&gt; For delete:</t>
  </si>
  <si>
    <t xml:space="preserve">After choose delete from dropdown list all information with the record in record lookup section will be auto filled </t>
  </si>
  <si>
    <t>Click "Update record" button and this record will be deleted from CRM</t>
  </si>
  <si>
    <t>In the dropdown list backend will list all possible selections for IDs in this CRM</t>
  </si>
  <si>
    <t>Select any one of the ID to lookup and everything else will be auto filled in the lookup area</t>
  </si>
  <si>
    <t>* The lookup area is directly linked to the upper section for update or delete the triger is when user select update or delete from dropdown list</t>
  </si>
  <si>
    <t>Delete</t>
  </si>
  <si>
    <t>In the bottom records search area, there is a two-level searching function</t>
  </si>
  <si>
    <t>First choose the columns you want to search on</t>
  </si>
  <si>
    <t>Second choose the corresponding value which is mattching with that column</t>
  </si>
  <si>
    <t>The below section will be auto filled with all matched records in this CRM</t>
  </si>
  <si>
    <t xml:space="preserve">For a large clients relationships DB user can first use record search to find the corresponding ID </t>
  </si>
  <si>
    <t>Then just copy that ID into record lookup for any updates</t>
  </si>
  <si>
    <t>5&gt; For record search:</t>
  </si>
  <si>
    <t>4&gt; For record lookup:</t>
  </si>
  <si>
    <t>*Tips:</t>
  </si>
  <si>
    <t>6&gt; The refresh button:</t>
  </si>
  <si>
    <t>This button is used for sortable table update and summary page update</t>
  </si>
  <si>
    <t xml:space="preserve">Whan all user updates are done, please click on refresh button which will generate sumary information and sortable table </t>
  </si>
  <si>
    <t>7&gt; Sortable table:</t>
  </si>
  <si>
    <t>In the sortable sheet, this CRM is auto generated as a column based sortabe table</t>
  </si>
  <si>
    <t>After click on refresh button</t>
  </si>
  <si>
    <t>Disclaimer:</t>
  </si>
  <si>
    <t xml:space="preserve">THE PROVIDER makes no representations or warranties of any kind concerning the safety, </t>
  </si>
  <si>
    <t xml:space="preserve">There are inherent dangers in the use of any software, and you are solely responsible for determining whether </t>
  </si>
  <si>
    <t>You are also solely responsible for the protection of your equipment and backup of your data,</t>
  </si>
  <si>
    <t>This CRM is provided by Alan Du "as is" and "with all faults."</t>
  </si>
  <si>
    <t>suitability, lack of viruses, inaccuracies, typographical errors, or other harmful components of this CRM.</t>
  </si>
  <si>
    <t>this CRM is compatible with your equipment and other software installed on your equipment.</t>
  </si>
  <si>
    <t>and THE PROVIDER will not be liable for any damages you may suffer in connection with using, modifying, or distributing this CRM.</t>
  </si>
  <si>
    <t>Author:</t>
  </si>
  <si>
    <t>Shaolun(Alan) Du</t>
  </si>
  <si>
    <t>Contact:</t>
  </si>
  <si>
    <t>Shaolun.du@gmail.com</t>
  </si>
  <si>
    <t>Instruction:</t>
  </si>
  <si>
    <t>Sample CRM</t>
  </si>
  <si>
    <t>a1</t>
  </si>
  <si>
    <t>a2</t>
  </si>
  <si>
    <t>a3</t>
  </si>
  <si>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</si>
  <si>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</si>
  <si>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</si>
  <si>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</si>
  <si>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</si>
  <si>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</si>
  <si>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</si>
  <si>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</si>
  <si>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</si>
  <si>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a13</t>
  </si>
  <si>
    <t>a14</t>
  </si>
  <si>
    <t>a15</t>
  </si>
  <si>
    <t>a16</t>
  </si>
  <si>
    <t>a17</t>
  </si>
  <si>
    <t>a18</t>
  </si>
  <si>
    <t>a19</t>
  </si>
  <si>
    <t>a20</t>
  </si>
  <si>
    <t>a21</t>
  </si>
  <si>
    <t>a22</t>
  </si>
  <si>
    <t>a23</t>
  </si>
  <si>
    <t>a24</t>
  </si>
  <si>
    <t>a25</t>
  </si>
  <si>
    <t>a26</t>
  </si>
  <si>
    <t>a27</t>
  </si>
  <si>
    <t>a28</t>
  </si>
  <si>
    <t>a29</t>
  </si>
  <si>
    <t>a30</t>
  </si>
  <si>
    <t>a31</t>
  </si>
  <si>
    <t>a32</t>
  </si>
  <si>
    <t>a33</t>
  </si>
  <si>
    <t>a34</t>
  </si>
  <si>
    <t>a35</t>
  </si>
  <si>
    <t>a36</t>
  </si>
  <si>
    <t>a37</t>
  </si>
  <si>
    <t>a38</t>
  </si>
  <si>
    <t>a39</t>
  </si>
  <si>
    <t>a40</t>
  </si>
  <si>
    <t>a41</t>
  </si>
  <si>
    <t>a42</t>
  </si>
  <si>
    <t>a43</t>
  </si>
  <si>
    <t>a44</t>
  </si>
  <si>
    <t>a45</t>
  </si>
  <si>
    <t>a46</t>
  </si>
  <si>
    <t>a47</t>
  </si>
  <si>
    <t>a48</t>
  </si>
  <si>
    <t>a49</t>
  </si>
  <si>
    <t>a50</t>
  </si>
  <si>
    <t>b1</t>
  </si>
  <si>
    <t>b2</t>
  </si>
  <si>
    <t>b3</t>
  </si>
  <si>
    <t>b4</t>
  </si>
  <si>
    <t>b5</t>
  </si>
  <si>
    <t>b6</t>
  </si>
  <si>
    <t>b7</t>
  </si>
  <si>
    <t>b8</t>
  </si>
  <si>
    <t>b9</t>
  </si>
  <si>
    <t>b10</t>
  </si>
  <si>
    <t>b11</t>
  </si>
  <si>
    <t>b12</t>
  </si>
  <si>
    <t>b13</t>
  </si>
  <si>
    <t>b14</t>
  </si>
  <si>
    <t>b15</t>
  </si>
  <si>
    <t>b16</t>
  </si>
  <si>
    <t>b17</t>
  </si>
  <si>
    <t>b18</t>
  </si>
  <si>
    <t>b19</t>
  </si>
  <si>
    <t>b20</t>
  </si>
  <si>
    <t>b21</t>
  </si>
  <si>
    <t>b22</t>
  </si>
  <si>
    <t>b23</t>
  </si>
  <si>
    <t>b24</t>
  </si>
  <si>
    <t>b25</t>
  </si>
  <si>
    <t>b26</t>
  </si>
  <si>
    <t>b27</t>
  </si>
  <si>
    <t>b28</t>
  </si>
  <si>
    <t>b29</t>
  </si>
  <si>
    <t>b30</t>
  </si>
  <si>
    <t>b31</t>
  </si>
  <si>
    <t>b32</t>
  </si>
  <si>
    <t>b33</t>
  </si>
  <si>
    <t>b34</t>
  </si>
  <si>
    <t>b35</t>
  </si>
  <si>
    <t>b36</t>
  </si>
  <si>
    <t>b37</t>
  </si>
  <si>
    <t>b38</t>
  </si>
  <si>
    <t>b39</t>
  </si>
  <si>
    <t>b40</t>
  </si>
  <si>
    <t>b41</t>
  </si>
  <si>
    <t>b42</t>
  </si>
  <si>
    <t>b43</t>
  </si>
  <si>
    <t>b44</t>
  </si>
  <si>
    <t>b45</t>
  </si>
  <si>
    <t>b46</t>
  </si>
  <si>
    <t>b47</t>
  </si>
  <si>
    <t>b48</t>
  </si>
  <si>
    <t>b49</t>
  </si>
  <si>
    <t>b50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</si>
  <si>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</si>
  <si>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</si>
  <si>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</si>
  <si>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</si>
  <si>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</si>
  <si>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</si>
  <si>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</si>
  <si>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</si>
  <si>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</si>
  <si>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</si>
  <si>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</si>
  <si>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</si>
  <si>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c13</t>
  </si>
  <si>
    <t>c14</t>
  </si>
  <si>
    <t>c15</t>
  </si>
  <si>
    <t>c16</t>
  </si>
  <si>
    <t>c17</t>
  </si>
  <si>
    <t>c18</t>
  </si>
  <si>
    <t>c19</t>
  </si>
  <si>
    <t>c20</t>
  </si>
  <si>
    <t>c21</t>
  </si>
  <si>
    <t>c22</t>
  </si>
  <si>
    <t>c23</t>
  </si>
  <si>
    <t>c24</t>
  </si>
  <si>
    <t>c25</t>
  </si>
  <si>
    <t>c26</t>
  </si>
  <si>
    <t>c27</t>
  </si>
  <si>
    <t>c28</t>
  </si>
  <si>
    <t>c29</t>
  </si>
  <si>
    <t>c30</t>
  </si>
  <si>
    <t>c31</t>
  </si>
  <si>
    <t>c32</t>
  </si>
  <si>
    <t>c33</t>
  </si>
  <si>
    <t>c34</t>
  </si>
  <si>
    <t>c35</t>
  </si>
  <si>
    <t>c36</t>
  </si>
  <si>
    <t>c37</t>
  </si>
  <si>
    <t>c38</t>
  </si>
  <si>
    <t>c39</t>
  </si>
  <si>
    <t>c40</t>
  </si>
  <si>
    <t>c41</t>
  </si>
  <si>
    <t>c42</t>
  </si>
  <si>
    <t>c43</t>
  </si>
  <si>
    <t>c44</t>
  </si>
  <si>
    <t>c45</t>
  </si>
  <si>
    <t>c46</t>
  </si>
  <si>
    <t>c47</t>
  </si>
  <si>
    <t>c48</t>
  </si>
  <si>
    <t>c49</t>
  </si>
  <si>
    <t>c50</t>
  </si>
  <si>
    <t>d1</t>
  </si>
  <si>
    <t>d2</t>
  </si>
  <si>
    <t>d3</t>
  </si>
  <si>
    <t>d4</t>
  </si>
  <si>
    <t>d5</t>
  </si>
  <si>
    <t>d6</t>
  </si>
  <si>
    <t>d7</t>
  </si>
  <si>
    <t>d8</t>
  </si>
  <si>
    <t>d9</t>
  </si>
  <si>
    <t>d10</t>
  </si>
  <si>
    <t>d11</t>
  </si>
  <si>
    <t>d12</t>
  </si>
  <si>
    <t>d13</t>
  </si>
  <si>
    <t>d14</t>
  </si>
  <si>
    <t>d15</t>
  </si>
  <si>
    <t>d16</t>
  </si>
  <si>
    <t>d17</t>
  </si>
  <si>
    <t>d18</t>
  </si>
  <si>
    <t>d19</t>
  </si>
  <si>
    <t>d20</t>
  </si>
  <si>
    <t>d21</t>
  </si>
  <si>
    <t>d22</t>
  </si>
  <si>
    <t>d23</t>
  </si>
  <si>
    <t>d24</t>
  </si>
  <si>
    <t>d25</t>
  </si>
  <si>
    <t>d26</t>
  </si>
  <si>
    <t>d27</t>
  </si>
  <si>
    <t>d28</t>
  </si>
  <si>
    <t>d29</t>
  </si>
  <si>
    <t>d30</t>
  </si>
  <si>
    <t>d31</t>
  </si>
  <si>
    <t>d32</t>
  </si>
  <si>
    <t>d33</t>
  </si>
  <si>
    <t>d34</t>
  </si>
  <si>
    <t>d35</t>
  </si>
  <si>
    <t>d36</t>
  </si>
  <si>
    <t>d37</t>
  </si>
  <si>
    <t>d38</t>
  </si>
  <si>
    <t>d39</t>
  </si>
  <si>
    <t>d40</t>
  </si>
  <si>
    <t>d41</t>
  </si>
  <si>
    <t>d42</t>
  </si>
  <si>
    <t>d43</t>
  </si>
  <si>
    <t>d44</t>
  </si>
  <si>
    <t>d45</t>
  </si>
  <si>
    <t>d46</t>
  </si>
  <si>
    <t>d47</t>
  </si>
  <si>
    <t>d48</t>
  </si>
  <si>
    <t>d49</t>
  </si>
  <si>
    <t>d50</t>
  </si>
  <si>
    <t>a1b1c1</t>
  </si>
  <si>
    <t>a2b2c2</t>
  </si>
  <si>
    <t>a3b3c3</t>
  </si>
  <si>
    <t>a4b4c4</t>
  </si>
  <si>
    <t>a5b5c5</t>
  </si>
  <si>
    <t>a6b6c6</t>
  </si>
  <si>
    <t>a7b7c7</t>
  </si>
  <si>
    <t>a8b8c8</t>
  </si>
  <si>
    <t>a9b9c9</t>
  </si>
  <si>
    <t>a10b10c10</t>
  </si>
  <si>
    <t>a11b11c11</t>
  </si>
  <si>
    <t>a12b12c12</t>
  </si>
  <si>
    <t>a13b13c13</t>
  </si>
  <si>
    <t>a14b14c14</t>
  </si>
  <si>
    <t>a15b15c15</t>
  </si>
  <si>
    <t>a16b16c16</t>
  </si>
  <si>
    <t>a17b17c17</t>
  </si>
  <si>
    <t>a18b18c18</t>
  </si>
  <si>
    <t>a19b19c19</t>
  </si>
  <si>
    <t>a20b20c20</t>
  </si>
  <si>
    <t>a21b21c21</t>
  </si>
  <si>
    <t>a22b22c22</t>
  </si>
  <si>
    <t>a23b23c23</t>
  </si>
  <si>
    <t>a24b24c24</t>
  </si>
  <si>
    <t>a25b25c25</t>
  </si>
  <si>
    <t>a26b26c26</t>
  </si>
  <si>
    <t>a27b27c27</t>
  </si>
  <si>
    <t>a28b28c28</t>
  </si>
  <si>
    <t>a29b29c29</t>
  </si>
  <si>
    <t>a30b30c30</t>
  </si>
  <si>
    <t>a31b31c31</t>
  </si>
  <si>
    <t>a32b32c32</t>
  </si>
  <si>
    <t>a33b33c33</t>
  </si>
  <si>
    <t>a34b34c34</t>
  </si>
  <si>
    <t>a35b35c35</t>
  </si>
  <si>
    <t>a36b36c36</t>
  </si>
  <si>
    <t>a37b37c37</t>
  </si>
  <si>
    <t>a38b38c38</t>
  </si>
  <si>
    <t>a39b39c39</t>
  </si>
  <si>
    <t>a40b40c40</t>
  </si>
  <si>
    <t>a41b41c41</t>
  </si>
  <si>
    <t>a42b42c42</t>
  </si>
  <si>
    <t>a43b43c43</t>
  </si>
  <si>
    <t>a44b44c44</t>
  </si>
  <si>
    <t>a45b45c45</t>
  </si>
  <si>
    <t>a46b46c46</t>
  </si>
  <si>
    <t>a47b47c47</t>
  </si>
  <si>
    <t>a48b48c48</t>
  </si>
  <si>
    <t>a49b49c49</t>
  </si>
  <si>
    <t>a50b50c50</t>
  </si>
  <si>
    <t>Meeting in some place</t>
  </si>
  <si>
    <t>Lets talk for some reason</t>
  </si>
  <si>
    <t>(blank)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</si>
</sst>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;@"/>
  </numFmts>
  <fonts count="22" x14ac:knownFonts="1">
    <font>
      <sz val="11"/>
      <color theme="1"/>
      <name val="Calibri"/>
      <family val="2"/>
      <scheme val="minor"/>
    </font>
    <font>
      <b/>
      <sz val="14"/>
      <color rgb="FF002060"/>
      <name val="Arial"/>
      <family val="2"/>
    </font>
    <font>
      <sz val="20"/>
      <color theme="1"/>
      <name val="Calibri"/>
      <family val="2"/>
      <scheme val="minor"/>
    </font>
    <font>
      <b/>
      <sz val="18"/>
      <color theme="4" tint="-0.249977111117893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6"/>
      <color theme="4" tint="-0.249977111117893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sz val="12"/>
      <color theme="4" tint="-0.249977111117893"/>
      <name val="Calibri"/>
      <family val="2"/>
      <scheme val="minor"/>
    </font>
    <font>
      <b/>
      <sz val="14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8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FF0000"/>
      <name val="Calibri"/>
      <family val="2"/>
    </font>
    <font>
      <b/>
      <sz val="1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 style="medium">
        <color auto="1"/>
      </left>
      <right/>
      <top style="medium">
        <color auto="1"/>
      </top>
      <bottom style="thin">
        <color theme="4" tint="0.39997558519241921"/>
      </bottom>
      <diagonal/>
    </border>
    <border>
      <left/>
      <right/>
      <top style="medium">
        <color auto="1"/>
      </top>
      <bottom/>
      <diagonal/>
    </border>
    <border>
      <left style="thin">
        <color theme="4" tint="0.39997558519241921"/>
      </left>
      <right/>
      <top style="medium">
        <color auto="1"/>
      </top>
      <bottom style="thin">
        <color theme="4" tint="0.3999755851924192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 style="thin">
        <color theme="4" tint="0.39997558519241921"/>
      </top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theme="4" tint="0.39997558519241921"/>
      </bottom>
      <diagonal/>
    </border>
    <border>
      <left/>
      <right style="medium">
        <color auto="1"/>
      </right>
      <top style="medium">
        <color auto="1"/>
      </top>
      <bottom style="thin">
        <color theme="4" tint="0.3999755851924192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theme="4" tint="0.39997558519241921"/>
      </left>
      <right style="medium">
        <color auto="1"/>
      </right>
      <top style="medium">
        <color auto="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</borders>
  <cellStyleXfs count="2">
    <xf numFmtId="0" fontId="0" fillId="0" borderId="0"/>
    <xf numFmtId="0" fontId="20" fillId="0" borderId="0" applyNumberFormat="0" applyFill="0" applyBorder="0" applyAlignment="0" applyProtection="0"/>
  </cellStyleXfs>
  <cellXfs count="79">
    <xf numFmtId="0" fontId="0" fillId="0" borderId="0" xfId="0"/>
    <xf numFmtId="0" fontId="0" fillId="0" borderId="0" xfId="0" applyAlignment="1">
      <alignment horizontal="left" vertical="top"/>
    </xf>
    <xf numFmtId="0" fontId="3" fillId="0" borderId="0" xfId="0" applyFont="1" applyAlignment="1"/>
    <xf numFmtId="14" fontId="4" fillId="0" borderId="0" xfId="0" applyNumberFormat="1" applyFont="1" applyAlignment="1">
      <alignment horizontal="center" vertical="center"/>
    </xf>
    <xf numFmtId="1" fontId="0" fillId="0" borderId="0" xfId="0" applyNumberFormat="1" applyAlignment="1">
      <alignment horizontal="left" vertical="top"/>
    </xf>
    <xf numFmtId="0" fontId="3" fillId="0" borderId="0" xfId="0" applyFont="1" applyAlignment="1">
      <alignment horizontal="center" vertical="center"/>
    </xf>
    <xf numFmtId="0" fontId="5" fillId="3" borderId="1" xfId="0" applyFont="1" applyFill="1" applyBorder="1"/>
    <xf numFmtId="14" fontId="7" fillId="0" borderId="0" xfId="0" applyNumberFormat="1" applyFont="1" applyAlignment="1">
      <alignment horizontal="center" vertical="center"/>
    </xf>
    <xf numFmtId="0" fontId="6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8" fillId="0" borderId="0" xfId="0" applyFont="1" applyAlignment="1">
      <alignment horizontal="left" vertical="center"/>
    </xf>
    <xf numFmtId="0" fontId="0" fillId="0" borderId="0" xfId="0" applyBorder="1"/>
    <xf numFmtId="0" fontId="0" fillId="0" borderId="0" xfId="0" applyBorder="1" applyAlignment="1">
      <alignment horizontal="left"/>
    </xf>
    <xf numFmtId="164" fontId="0" fillId="0" borderId="0" xfId="0" applyNumberFormat="1" applyBorder="1" applyAlignment="1">
      <alignment horizontal="left"/>
    </xf>
    <xf numFmtId="1" fontId="0" fillId="0" borderId="0" xfId="0" applyNumberFormat="1" applyBorder="1" applyAlignment="1">
      <alignment horizontal="left"/>
    </xf>
    <xf numFmtId="0" fontId="5" fillId="3" borderId="3" xfId="0" applyFont="1" applyFill="1" applyBorder="1"/>
    <xf numFmtId="0" fontId="5" fillId="3" borderId="5" xfId="0" applyFont="1" applyFill="1" applyBorder="1"/>
    <xf numFmtId="0" fontId="0" fillId="0" borderId="4" xfId="0" applyBorder="1" applyAlignment="1">
      <alignment horizontal="left"/>
    </xf>
    <xf numFmtId="164" fontId="0" fillId="0" borderId="4" xfId="0" applyNumberFormat="1" applyBorder="1" applyAlignment="1">
      <alignment horizontal="left"/>
    </xf>
    <xf numFmtId="0" fontId="0" fillId="0" borderId="6" xfId="0" applyBorder="1"/>
    <xf numFmtId="0" fontId="5" fillId="3" borderId="7" xfId="0" applyFont="1" applyFill="1" applyBorder="1"/>
    <xf numFmtId="0" fontId="0" fillId="0" borderId="8" xfId="0" applyBorder="1"/>
    <xf numFmtId="0" fontId="5" fillId="3" borderId="9" xfId="0" applyFont="1" applyFill="1" applyBorder="1"/>
    <xf numFmtId="0" fontId="0" fillId="0" borderId="10" xfId="0" applyBorder="1"/>
    <xf numFmtId="0" fontId="0" fillId="0" borderId="11" xfId="0" applyBorder="1"/>
    <xf numFmtId="0" fontId="10" fillId="3" borderId="14" xfId="0" applyFont="1" applyFill="1" applyBorder="1" applyAlignment="1">
      <alignment horizontal="center"/>
    </xf>
    <xf numFmtId="0" fontId="1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vertical="center"/>
    </xf>
    <xf numFmtId="0" fontId="11" fillId="0" borderId="8" xfId="0" applyFont="1" applyBorder="1" applyAlignment="1">
      <alignment horizontal="center" vertical="center"/>
    </xf>
    <xf numFmtId="164" fontId="11" fillId="0" borderId="11" xfId="0" applyNumberFormat="1" applyFont="1" applyBorder="1" applyAlignment="1">
      <alignment horizontal="center"/>
    </xf>
    <xf numFmtId="0" fontId="10" fillId="3" borderId="15" xfId="0" applyFont="1" applyFill="1" applyBorder="1" applyAlignment="1">
      <alignment horizontal="center"/>
    </xf>
    <xf numFmtId="0" fontId="9" fillId="4" borderId="6" xfId="0" applyFont="1" applyFill="1" applyBorder="1" applyAlignment="1">
      <alignment horizontal="center"/>
    </xf>
    <xf numFmtId="0" fontId="10" fillId="3" borderId="16" xfId="0" applyFont="1" applyFill="1" applyBorder="1" applyAlignment="1">
      <alignment horizontal="center"/>
    </xf>
    <xf numFmtId="0" fontId="9" fillId="4" borderId="11" xfId="0" applyFont="1" applyFill="1" applyBorder="1" applyAlignment="1">
      <alignment horizontal="center"/>
    </xf>
    <xf numFmtId="14" fontId="9" fillId="4" borderId="8" xfId="0" applyNumberFormat="1" applyFont="1" applyFill="1" applyBorder="1" applyAlignment="1">
      <alignment horizontal="center"/>
    </xf>
    <xf numFmtId="164" fontId="0" fillId="0" borderId="0" xfId="0" applyNumberFormat="1"/>
    <xf numFmtId="164" fontId="5" fillId="3" borderId="1" xfId="0" applyNumberFormat="1" applyFont="1" applyFill="1" applyBorder="1"/>
    <xf numFmtId="164" fontId="0" fillId="0" borderId="0" xfId="0" applyNumberFormat="1" applyAlignment="1">
      <alignment horizontal="left" vertical="top"/>
    </xf>
    <xf numFmtId="0" fontId="15" fillId="3" borderId="5" xfId="0" applyFont="1" applyFill="1" applyBorder="1" applyAlignment="1">
      <alignment horizontal="center" vertical="center"/>
    </xf>
    <xf numFmtId="164" fontId="15" fillId="3" borderId="5" xfId="0" applyNumberFormat="1" applyFont="1" applyFill="1" applyBorder="1" applyAlignment="1">
      <alignment horizontal="center" vertical="center"/>
    </xf>
    <xf numFmtId="0" fontId="15" fillId="3" borderId="17" xfId="0" applyFont="1" applyFill="1" applyBorder="1" applyAlignment="1">
      <alignment horizontal="center" vertical="center"/>
    </xf>
    <xf numFmtId="0" fontId="15" fillId="3" borderId="3" xfId="0" applyFont="1" applyFill="1" applyBorder="1" applyAlignment="1">
      <alignment horizontal="center" vertical="center"/>
    </xf>
    <xf numFmtId="0" fontId="16" fillId="0" borderId="0" xfId="0" applyFont="1"/>
    <xf numFmtId="0" fontId="14" fillId="0" borderId="0" xfId="0" applyFont="1"/>
    <xf numFmtId="0" fontId="5" fillId="3" borderId="18" xfId="0" applyFont="1" applyFill="1" applyBorder="1"/>
    <xf numFmtId="0" fontId="0" fillId="0" borderId="0" xfId="0" applyAlignment="1"/>
    <xf numFmtId="0" fontId="5" fillId="3" borderId="18" xfId="0" applyFont="1" applyFill="1" applyBorder="1" applyAlignment="1"/>
    <xf numFmtId="0" fontId="5" fillId="3" borderId="2" xfId="0" applyFont="1" applyFill="1" applyBorder="1" applyAlignment="1"/>
    <xf numFmtId="164" fontId="5" fillId="3" borderId="2" xfId="0" applyNumberFormat="1" applyFont="1" applyFill="1" applyBorder="1" applyAlignment="1"/>
    <xf numFmtId="0" fontId="0" fillId="0" borderId="0" xfId="0" applyBorder="1" applyAlignment="1"/>
    <xf numFmtId="164" fontId="0" fillId="0" borderId="0" xfId="0" applyNumberFormat="1" applyBorder="1" applyAlignment="1"/>
    <xf numFmtId="164" fontId="0" fillId="0" borderId="0" xfId="0" applyNumberFormat="1" applyBorder="1" applyAlignment="1">
      <alignment horizontal="left" vertical="top"/>
    </xf>
    <xf numFmtId="0" fontId="0" fillId="0" borderId="0" xfId="0" applyBorder="1" applyAlignment="1">
      <alignment horizontal="left" vertical="top"/>
    </xf>
    <xf numFmtId="1" fontId="0" fillId="0" borderId="0" xfId="0" applyNumberFormat="1" applyBorder="1" applyAlignment="1">
      <alignment horizontal="left" vertical="top"/>
    </xf>
    <xf numFmtId="3" fontId="11" fillId="0" borderId="8" xfId="0" applyNumberFormat="1" applyFont="1" applyBorder="1" applyAlignment="1">
      <alignment horizontal="center" vertical="center"/>
    </xf>
    <xf numFmtId="0" fontId="19" fillId="4" borderId="11" xfId="0" applyFont="1" applyFill="1" applyBorder="1" applyAlignment="1">
      <alignment horizontal="center"/>
    </xf>
    <xf numFmtId="0" fontId="16" fillId="0" borderId="4" xfId="0" applyFont="1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0" fontId="0" fillId="0" borderId="0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1" fontId="0" fillId="0" borderId="0" xfId="0" applyNumberFormat="1" applyBorder="1" applyAlignment="1">
      <alignment horizontal="left" vertical="center"/>
    </xf>
    <xf numFmtId="164" fontId="0" fillId="0" borderId="4" xfId="0" applyNumberFormat="1" applyBorder="1" applyAlignment="1">
      <alignment horizontal="left" vertical="center"/>
    </xf>
    <xf numFmtId="164" fontId="0" fillId="0" borderId="0" xfId="0" applyNumberFormat="1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20" fillId="0" borderId="0" xfId="1"/>
    <xf numFmtId="0" fontId="21" fillId="0" borderId="0" xfId="0" applyFont="1"/>
    <xf numFmtId="0" fontId="13" fillId="3" borderId="12" xfId="0" applyFont="1" applyFill="1" applyBorder="1" applyAlignment="1">
      <alignment horizontal="center"/>
    </xf>
    <xf numFmtId="0" fontId="13" fillId="3" borderId="13" xfId="0" applyFont="1" applyFill="1" applyBorder="1" applyAlignment="1">
      <alignment horizontal="center"/>
    </xf>
    <xf numFmtId="0" fontId="2" fillId="2" borderId="0" xfId="0" applyFont="1" applyFill="1" applyAlignment="1">
      <alignment horizontal="center"/>
    </xf>
    <xf numFmtId="0" fontId="1" fillId="2" borderId="0" xfId="0" applyFont="1" applyFill="1" applyAlignment="1">
      <alignment horizontal="center"/>
    </xf>
    <xf numFmtId="0" fontId="12" fillId="3" borderId="15" xfId="0" applyFont="1" applyFill="1" applyBorder="1" applyAlignment="1">
      <alignment horizontal="center"/>
    </xf>
    <xf numFmtId="0" fontId="12" fillId="3" borderId="6" xfId="0" applyFont="1" applyFill="1" applyBorder="1" applyAlignment="1">
      <alignment horizontal="center"/>
    </xf>
    <xf numFmtId="0" fontId="1" fillId="2" borderId="0" xfId="0" applyFont="1" applyFill="1" applyAlignment="1">
      <alignment horizontal="center" vertical="center"/>
    </xf>
  </cellXfs>
  <cellStyles count="2">
    <cellStyle name="Hyperlink" xfId="1" builtinId="8"/>
    <cellStyle name="Normal" xfId="0" builtinId="0"/>
  </cellStyles>
  <dxfs count="24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164" formatCode="yyyy\-mm\-dd;@"/>
      <alignment horizontal="general" vertical="bottom" textRotation="0" wrapText="0" indent="0" justifyLastLine="0" shrinkToFit="0" readingOrder="0"/>
    </dxf>
    <dxf>
      <numFmt numFmtId="164" formatCode="yyyy\-mm\-dd;@"/>
      <alignment horizontal="general" vertical="bottom" textRotation="0" wrapText="0" indent="0" justifyLastLine="0" shrinkToFit="0" readingOrder="0"/>
    </dxf>
    <dxf>
      <numFmt numFmtId="164" formatCode="yyyy\-mm\-dd;@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border outline="0">
        <bottom style="thin">
          <color theme="4" tint="0.39997558519241921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pivotCacheDefinition" Target="pivotCache/pivotCacheDefinition6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5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pivotCacheDefinition" Target="pivotCache/pivotCacheDefinition4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3.xml"/><Relationship Id="rId14" Type="http://schemas.openxmlformats.org/officeDocument/2006/relationships/styles" Target="styles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[SampleCRM.xlsm]PivoteTB!PivotTable1</c:name>
    <c:fmtId val="2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marker>
          <c:symbol val="none"/>
        </c:marker>
        <c:dLbl>
          <c:idx val="0"/>
          <c:numFmt formatCode="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6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0.20833333333333334"/>
              <c:y val="0"/>
            </c:manualLayout>
          </c:layout>
          <c:numFmt formatCode="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6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2"/>
          </a:solidFill>
          <a:ln>
            <a:noFill/>
          </a:ln>
          <a:effectLst/>
        </c:spPr>
        <c:dLbl>
          <c:idx val="0"/>
          <c:numFmt formatCode="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6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ect">
                  <a:avLst/>
                </a:prstGeom>
              </c15:spPr>
            </c:ext>
          </c:extLst>
        </c:dLbl>
      </c:pivotFmt>
      <c:pivotFmt>
        <c:idx val="10"/>
        <c:spPr>
          <a:solidFill>
            <a:schemeClr val="accent3"/>
          </a:solidFill>
          <a:ln>
            <a:noFill/>
          </a:ln>
          <a:effectLst/>
        </c:spPr>
      </c:pivotFmt>
      <c:pivotFmt>
        <c:idx val="11"/>
        <c:spPr>
          <a:solidFill>
            <a:schemeClr val="accent4"/>
          </a:solidFill>
          <a:ln>
            <a:noFill/>
          </a:ln>
          <a:effectLst/>
        </c:spPr>
      </c:pivotFmt>
      <c:pivotFmt>
        <c:idx val="12"/>
        <c:spPr>
          <a:solidFill>
            <a:schemeClr val="accent5"/>
          </a:solidFill>
          <a:ln>
            <a:noFill/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1865460046660834"/>
          <c:y val="9.4360236220472446E-2"/>
          <c:w val="0.55283391659375913"/>
          <c:h val="0.82925087489063865"/>
        </c:manualLayout>
      </c:layout>
      <c:pieChart>
        <c:varyColors val="1"/>
        <c:ser>
          <c:idx val="0"/>
          <c:order val="0"/>
          <c:tx>
            <c:strRef>
              <c:f>PivoteTB!$B$1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1-9DE1-4FDA-8CAD-5CA5E3CECE14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3-9DE1-4FDA-8CAD-5CA5E3CECE1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9DE1-4FDA-8CAD-5CA5E3CECE14}"/>
              </c:ext>
            </c:extLst>
          </c:dPt>
          <c:dPt>
            <c:idx val="3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9DE1-4FDA-8CAD-5CA5E3CECE14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9-9DE1-4FDA-8CAD-5CA5E3CECE14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6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PivoteTB!$A$2:$A$7</c:f>
              <c:strCache>
                <c:ptCount val="5"/>
                <c:pt idx="0">
                  <c:v>Canada</c:v>
                </c:pt>
                <c:pt idx="1">
                  <c:v>Monaco</c:v>
                </c:pt>
                <c:pt idx="2">
                  <c:v>United Kingdom</c:v>
                </c:pt>
                <c:pt idx="3">
                  <c:v>United States of America</c:v>
                </c:pt>
                <c:pt idx="4">
                  <c:v>(blank)</c:v>
                </c:pt>
              </c:strCache>
            </c:strRef>
          </c:cat>
          <c:val>
            <c:numRef>
              <c:f>PivoteTB!$B$2:$B$7</c:f>
              <c:numCache>
                <c:formatCode>General</c:formatCode>
                <c:ptCount val="5"/>
                <c:pt idx="0">
                  <c:v>121900</c:v>
                </c:pt>
                <c:pt idx="1">
                  <c:v>150</c:v>
                </c:pt>
                <c:pt idx="2">
                  <c:v>30000</c:v>
                </c:pt>
                <c:pt idx="3">
                  <c:v>150000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DE1-4FDA-8CAD-5CA5E3CECE1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[SampleCRM.xlsm]PivoteTB!PivotTable2</c:name>
    <c:fmtId val="2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6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6.9444444444444448E-2"/>
              <c:y val="0"/>
            </c:manualLayout>
          </c:layout>
          <c:numFmt formatCode="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6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9.2592592592593437E-3"/>
              <c:y val="6.9444444444444441E-3"/>
            </c:manualLayout>
          </c:layout>
          <c:numFmt formatCode="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6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4.6296296296295444E-3"/>
              <c:y val="2.0833333333333332E-2"/>
            </c:manualLayout>
          </c:layout>
          <c:numFmt formatCode="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6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1.6975112544026657E-16"/>
              <c:y val="-6.9444444444444441E-3"/>
            </c:manualLayout>
          </c:layout>
          <c:numFmt formatCode="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6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20370370370370369"/>
          <c:y val="9.0277777777777776E-2"/>
          <c:w val="0.55555555555555558"/>
          <c:h val="0.83333333333333337"/>
        </c:manualLayout>
      </c:layout>
      <c:pieChart>
        <c:varyColors val="1"/>
        <c:ser>
          <c:idx val="0"/>
          <c:order val="0"/>
          <c:tx>
            <c:strRef>
              <c:f>PivoteTB!$E$1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40B-438C-A8ED-8C05C55830F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40B-438C-A8ED-8C05C55830F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40B-438C-A8ED-8C05C55830F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640B-438C-A8ED-8C05C55830FB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640B-438C-A8ED-8C05C55830FB}"/>
              </c:ext>
            </c:extLst>
          </c:dPt>
          <c:dLbls>
            <c:dLbl>
              <c:idx val="0"/>
              <c:layout>
                <c:manualLayout>
                  <c:x val="4.6296296296295444E-3"/>
                  <c:y val="2.0833333333333332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40B-438C-A8ED-8C05C55830FB}"/>
                </c:ext>
              </c:extLst>
            </c:dLbl>
            <c:dLbl>
              <c:idx val="1"/>
              <c:layout>
                <c:manualLayout>
                  <c:x val="-1.6975112544026657E-16"/>
                  <c:y val="-6.9444444444444441E-3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40B-438C-A8ED-8C05C55830FB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6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PivoteTB!$D$2:$D$6</c:f>
              <c:strCache>
                <c:ptCount val="4"/>
                <c:pt idx="0">
                  <c:v>EUR</c:v>
                </c:pt>
                <c:pt idx="1">
                  <c:v>GBP</c:v>
                </c:pt>
                <c:pt idx="2">
                  <c:v>USD</c:v>
                </c:pt>
                <c:pt idx="3">
                  <c:v>(blank)</c:v>
                </c:pt>
              </c:strCache>
            </c:strRef>
          </c:cat>
          <c:val>
            <c:numRef>
              <c:f>PivoteTB!$E$2:$E$6</c:f>
              <c:numCache>
                <c:formatCode>General</c:formatCode>
                <c:ptCount val="4"/>
                <c:pt idx="0">
                  <c:v>150</c:v>
                </c:pt>
                <c:pt idx="1">
                  <c:v>30000</c:v>
                </c:pt>
                <c:pt idx="2">
                  <c:v>271900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640B-438C-A8ED-8C05C55830F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[SampleCRM.xlsm]PivoteTB!PivotTable3</c:name>
    <c:fmtId val="2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2.3148148148149188E-3"/>
              <c:y val="-6.3656672040099962E-17"/>
            </c:manualLayout>
          </c:layout>
          <c:numFmt formatCode="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7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310185185185183"/>
                  <c:h val="0.10479166666666667"/>
                </c:manualLayout>
              </c15:layout>
            </c:ext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18981481481481483"/>
          <c:y val="9.7222222222222224E-2"/>
          <c:w val="0.54166666666666663"/>
          <c:h val="0.8125"/>
        </c:manualLayout>
      </c:layout>
      <c:pieChart>
        <c:varyColors val="1"/>
        <c:ser>
          <c:idx val="0"/>
          <c:order val="0"/>
          <c:tx>
            <c:strRef>
              <c:f>PivoteTB!$B$10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B11-4BA0-9F9A-0D6AE93DA67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B11-4BA0-9F9A-0D6AE93DA67E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B11-4BA0-9F9A-0D6AE93DA67E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B11-4BA0-9F9A-0D6AE93DA67E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B11-4BA0-9F9A-0D6AE93DA67E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PivoteTB!$A$11:$A$16</c:f>
              <c:strCache>
                <c:ptCount val="5"/>
                <c:pt idx="0">
                  <c:v>Canada</c:v>
                </c:pt>
                <c:pt idx="1">
                  <c:v>Monaco</c:v>
                </c:pt>
                <c:pt idx="2">
                  <c:v>United Kingdom</c:v>
                </c:pt>
                <c:pt idx="3">
                  <c:v>United States of America</c:v>
                </c:pt>
                <c:pt idx="4">
                  <c:v>(blank)</c:v>
                </c:pt>
              </c:strCache>
            </c:strRef>
          </c:cat>
          <c:val>
            <c:numRef>
              <c:f>PivoteTB!$B$11:$B$16</c:f>
              <c:numCache>
                <c:formatCode>General</c:formatCode>
                <c:ptCount val="5"/>
                <c:pt idx="0">
                  <c:v>2</c:v>
                </c:pt>
                <c:pt idx="1">
                  <c:v>1</c:v>
                </c:pt>
                <c:pt idx="2">
                  <c:v>1</c:v>
                </c:pt>
                <c:pt idx="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B11-4BA0-9F9A-0D6AE93DA67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[SampleCRM.xlsm]PivoteTB!PivotTable4</c:name>
    <c:fmtId val="2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20601851851851852"/>
          <c:y val="7.6388888888888895E-2"/>
          <c:w val="0.56481481481481477"/>
          <c:h val="0.84722222222222221"/>
        </c:manualLayout>
      </c:layout>
      <c:pieChart>
        <c:varyColors val="1"/>
        <c:ser>
          <c:idx val="0"/>
          <c:order val="0"/>
          <c:tx>
            <c:strRef>
              <c:f>PivoteTB!$E$10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0F4-4B74-85E7-3319B65D2D4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0F4-4B74-85E7-3319B65D2D43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0F4-4B74-85E7-3319B65D2D43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F0F4-4B74-85E7-3319B65D2D43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F0F4-4B74-85E7-3319B65D2D43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PivoteTB!$D$11:$D$16</c:f>
              <c:strCache>
                <c:ptCount val="5"/>
                <c:pt idx="0">
                  <c:v>Bristol/ London</c:v>
                </c:pt>
                <c:pt idx="1">
                  <c:v>Monte-Carlo</c:v>
                </c:pt>
                <c:pt idx="2">
                  <c:v>New York</c:v>
                </c:pt>
                <c:pt idx="3">
                  <c:v>Victoria BC</c:v>
                </c:pt>
                <c:pt idx="4">
                  <c:v>(blank)</c:v>
                </c:pt>
              </c:strCache>
            </c:strRef>
          </c:cat>
          <c:val>
            <c:numRef>
              <c:f>PivoteTB!$E$11:$E$16</c:f>
              <c:numCache>
                <c:formatCode>General</c:formatCode>
                <c:ptCount val="5"/>
                <c:pt idx="0">
                  <c:v>1</c:v>
                </c:pt>
                <c:pt idx="1">
                  <c:v>1</c:v>
                </c:pt>
                <c:pt idx="2">
                  <c:v>3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0F4-4B74-85E7-3319B65D2D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[SampleCRM.xlsm]PivoteTB!PivotTable5</c:name>
    <c:fmtId val="2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PivoteTB!$B$19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PivoteTB!$A$20:$A$26</c:f>
              <c:multiLvlStrCache>
                <c:ptCount val="4"/>
                <c:lvl>
                  <c:pt idx="3">
                    <c:v>Jul</c:v>
                  </c:pt>
                </c:lvl>
                <c:lvl>
                  <c:pt idx="1">
                    <c:v>Qtr1</c:v>
                  </c:pt>
                  <c:pt idx="2">
                    <c:v>Qtr2</c:v>
                  </c:pt>
                  <c:pt idx="3">
                    <c:v>Qtr3</c:v>
                  </c:pt>
                </c:lvl>
                <c:lvl>
                  <c:pt idx="0">
                    <c:v>2018</c:v>
                  </c:pt>
                  <c:pt idx="1">
                    <c:v>2019</c:v>
                  </c:pt>
                </c:lvl>
              </c:multiLvlStrCache>
            </c:multiLvlStrRef>
          </c:cat>
          <c:val>
            <c:numRef>
              <c:f>PivoteTB!$B$20:$B$26</c:f>
              <c:numCache>
                <c:formatCode>General</c:formatCode>
                <c:ptCount val="4"/>
                <c:pt idx="0">
                  <c:v>3</c:v>
                </c:pt>
                <c:pt idx="1">
                  <c:v>2</c:v>
                </c:pt>
                <c:pt idx="2">
                  <c:v>1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C7-4CE3-B29B-677D47C05C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19661536"/>
        <c:axId val="419661864"/>
      </c:barChart>
      <c:catAx>
        <c:axId val="419661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9661864"/>
        <c:crosses val="autoZero"/>
        <c:auto val="1"/>
        <c:lblAlgn val="ctr"/>
        <c:lblOffset val="100"/>
        <c:noMultiLvlLbl val="0"/>
      </c:catAx>
      <c:valAx>
        <c:axId val="419661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9661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[SampleCRM.xlsm]PivoteTB!PivotTable6</c:name>
    <c:fmtId val="2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PivoteTB!$E$19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PivoteTB!$D$20:$D$24</c:f>
              <c:multiLvlStrCache>
                <c:ptCount val="3"/>
                <c:lvl>
                  <c:pt idx="1">
                    <c:v>Qtr1</c:v>
                  </c:pt>
                  <c:pt idx="2">
                    <c:v>Qtr2</c:v>
                  </c:pt>
                </c:lvl>
                <c:lvl>
                  <c:pt idx="0">
                    <c:v>2018</c:v>
                  </c:pt>
                  <c:pt idx="1">
                    <c:v>2019</c:v>
                  </c:pt>
                </c:lvl>
              </c:multiLvlStrCache>
            </c:multiLvlStrRef>
          </c:cat>
          <c:val>
            <c:numRef>
              <c:f>PivoteTB!$E$20:$E$24</c:f>
              <c:numCache>
                <c:formatCode>General</c:formatCode>
                <c:ptCount val="3"/>
                <c:pt idx="0">
                  <c:v>33</c:v>
                </c:pt>
                <c:pt idx="1">
                  <c:v>4</c:v>
                </c:pt>
                <c:pt idx="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2E-4719-AD80-48D744576A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21233736"/>
        <c:axId val="421235376"/>
      </c:barChart>
      <c:catAx>
        <c:axId val="4212337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235376"/>
        <c:crosses val="autoZero"/>
        <c:auto val="1"/>
        <c:lblAlgn val="ctr"/>
        <c:lblOffset val="100"/>
        <c:noMultiLvlLbl val="0"/>
      </c:catAx>
      <c:valAx>
        <c:axId val="421235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233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1095375</xdr:colOff>
          <xdr:row>1</xdr:row>
          <xdr:rowOff>9525</xdr:rowOff>
        </xdr:from>
        <xdr:to>
          <xdr:col>1</xdr:col>
          <xdr:colOff>1000125</xdr:colOff>
          <xdr:row>3</xdr:row>
          <xdr:rowOff>219075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9525</xdr:rowOff>
        </xdr:from>
        <xdr:to>
          <xdr:col>0</xdr:col>
          <xdr:colOff>1085850</xdr:colOff>
          <xdr:row>3</xdr:row>
          <xdr:rowOff>219075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Update_Record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1000125</xdr:colOff>
          <xdr:row>1</xdr:row>
          <xdr:rowOff>9525</xdr:rowOff>
        </xdr:from>
        <xdr:to>
          <xdr:col>2</xdr:col>
          <xdr:colOff>0</xdr:colOff>
          <xdr:row>3</xdr:row>
          <xdr:rowOff>219075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Upload_DB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</xdr:row>
          <xdr:rowOff>19050</xdr:rowOff>
        </xdr:from>
        <xdr:to>
          <xdr:col>2</xdr:col>
          <xdr:colOff>1057275</xdr:colOff>
          <xdr:row>3</xdr:row>
          <xdr:rowOff>228600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1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Download_DB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19049</xdr:rowOff>
    </xdr:from>
    <xdr:to>
      <xdr:col>3</xdr:col>
      <xdr:colOff>66675</xdr:colOff>
      <xdr:row>3</xdr:row>
      <xdr:rowOff>102869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0" y="1028699"/>
          <a:ext cx="2743200" cy="274320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Total</a:t>
          </a:r>
          <a:r>
            <a:rPr lang="en-US" sz="1400" b="1" baseline="0"/>
            <a:t> number by Country Top 5</a:t>
          </a:r>
        </a:p>
      </xdr:txBody>
    </xdr:sp>
    <xdr:clientData/>
  </xdr:twoCellAnchor>
  <xdr:twoCellAnchor>
    <xdr:from>
      <xdr:col>0</xdr:col>
      <xdr:colOff>0</xdr:colOff>
      <xdr:row>24</xdr:row>
      <xdr:rowOff>161192</xdr:rowOff>
    </xdr:from>
    <xdr:to>
      <xdr:col>3</xdr:col>
      <xdr:colOff>66675</xdr:colOff>
      <xdr:row>26</xdr:row>
      <xdr:rowOff>54512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0" y="4953000"/>
          <a:ext cx="2748329" cy="274320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Total</a:t>
          </a:r>
          <a:r>
            <a:rPr lang="en-US" sz="1400" b="1" baseline="0"/>
            <a:t> Sent by Date</a:t>
          </a:r>
          <a:endParaRPr lang="en-US" sz="1400" b="1"/>
        </a:p>
      </xdr:txBody>
    </xdr:sp>
    <xdr:clientData/>
  </xdr:twoCellAnchor>
  <xdr:twoCellAnchor>
    <xdr:from>
      <xdr:col>3</xdr:col>
      <xdr:colOff>1019175</xdr:colOff>
      <xdr:row>2</xdr:row>
      <xdr:rowOff>19049</xdr:rowOff>
    </xdr:from>
    <xdr:to>
      <xdr:col>6</xdr:col>
      <xdr:colOff>981075</xdr:colOff>
      <xdr:row>3</xdr:row>
      <xdr:rowOff>102869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3695700" y="1028699"/>
          <a:ext cx="2743200" cy="274320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Total</a:t>
          </a:r>
          <a:r>
            <a:rPr lang="en-US" sz="1400" b="1" baseline="0"/>
            <a:t> number by City Top 5</a:t>
          </a:r>
        </a:p>
      </xdr:txBody>
    </xdr:sp>
    <xdr:clientData/>
  </xdr:twoCellAnchor>
  <xdr:twoCellAnchor>
    <xdr:from>
      <xdr:col>3</xdr:col>
      <xdr:colOff>1030898</xdr:colOff>
      <xdr:row>24</xdr:row>
      <xdr:rowOff>161192</xdr:rowOff>
    </xdr:from>
    <xdr:to>
      <xdr:col>6</xdr:col>
      <xdr:colOff>916598</xdr:colOff>
      <xdr:row>26</xdr:row>
      <xdr:rowOff>54512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3712552" y="5334000"/>
          <a:ext cx="2743200" cy="274320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Total</a:t>
          </a:r>
          <a:r>
            <a:rPr lang="en-US" sz="1400" b="1" baseline="0"/>
            <a:t> Last Sent by Date</a:t>
          </a:r>
          <a:endParaRPr lang="en-US" sz="1400" b="1"/>
        </a:p>
      </xdr:txBody>
    </xdr:sp>
    <xdr:clientData/>
  </xdr:twoCellAnchor>
  <xdr:twoCellAnchor>
    <xdr:from>
      <xdr:col>0</xdr:col>
      <xdr:colOff>0</xdr:colOff>
      <xdr:row>13</xdr:row>
      <xdr:rowOff>131884</xdr:rowOff>
    </xdr:from>
    <xdr:to>
      <xdr:col>3</xdr:col>
      <xdr:colOff>66675</xdr:colOff>
      <xdr:row>15</xdr:row>
      <xdr:rowOff>25204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>
        <a:xfrm>
          <a:off x="0" y="3209192"/>
          <a:ext cx="2748329" cy="274320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Total</a:t>
          </a:r>
          <a:r>
            <a:rPr lang="en-US" sz="1400" b="1" baseline="0"/>
            <a:t> AUM by Country (mm)</a:t>
          </a:r>
        </a:p>
      </xdr:txBody>
    </xdr:sp>
    <xdr:clientData/>
  </xdr:twoCellAnchor>
  <xdr:twoCellAnchor>
    <xdr:from>
      <xdr:col>3</xdr:col>
      <xdr:colOff>1019175</xdr:colOff>
      <xdr:row>13</xdr:row>
      <xdr:rowOff>131884</xdr:rowOff>
    </xdr:from>
    <xdr:to>
      <xdr:col>7</xdr:col>
      <xdr:colOff>733</xdr:colOff>
      <xdr:row>15</xdr:row>
      <xdr:rowOff>25204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/>
      </xdr:nvSpPr>
      <xdr:spPr>
        <a:xfrm>
          <a:off x="3700829" y="3209192"/>
          <a:ext cx="2762250" cy="274320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Total</a:t>
          </a:r>
          <a:r>
            <a:rPr lang="en-US" sz="1400" b="1" baseline="0"/>
            <a:t> AUM by Currency (mm)</a:t>
          </a:r>
        </a:p>
      </xdr:txBody>
    </xdr:sp>
    <xdr:clientData/>
  </xdr:twoCellAnchor>
  <xdr:twoCellAnchor>
    <xdr:from>
      <xdr:col>0</xdr:col>
      <xdr:colOff>0</xdr:colOff>
      <xdr:row>15</xdr:row>
      <xdr:rowOff>0</xdr:rowOff>
    </xdr:from>
    <xdr:to>
      <xdr:col>3</xdr:col>
      <xdr:colOff>61546</xdr:colOff>
      <xdr:row>24</xdr:row>
      <xdr:rowOff>114300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1033097</xdr:colOff>
      <xdr:row>15</xdr:row>
      <xdr:rowOff>21980</xdr:rowOff>
    </xdr:from>
    <xdr:to>
      <xdr:col>6</xdr:col>
      <xdr:colOff>918797</xdr:colOff>
      <xdr:row>24</xdr:row>
      <xdr:rowOff>136280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</xdr:row>
      <xdr:rowOff>109904</xdr:rowOff>
    </xdr:from>
    <xdr:to>
      <xdr:col>3</xdr:col>
      <xdr:colOff>61546</xdr:colOff>
      <xdr:row>13</xdr:row>
      <xdr:rowOff>33704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1040423</xdr:colOff>
      <xdr:row>3</xdr:row>
      <xdr:rowOff>124558</xdr:rowOff>
    </xdr:from>
    <xdr:to>
      <xdr:col>7</xdr:col>
      <xdr:colOff>2931</xdr:colOff>
      <xdr:row>13</xdr:row>
      <xdr:rowOff>48358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26</xdr:row>
      <xdr:rowOff>80596</xdr:rowOff>
    </xdr:from>
    <xdr:to>
      <xdr:col>3</xdr:col>
      <xdr:colOff>61546</xdr:colOff>
      <xdr:row>36</xdr:row>
      <xdr:rowOff>4396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</xdr:col>
      <xdr:colOff>1025769</xdr:colOff>
      <xdr:row>26</xdr:row>
      <xdr:rowOff>73269</xdr:rowOff>
    </xdr:from>
    <xdr:to>
      <xdr:col>6</xdr:col>
      <xdr:colOff>911469</xdr:colOff>
      <xdr:row>35</xdr:row>
      <xdr:rowOff>187569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CM05" refreshedDate="43738.579406365738" createdVersion="6" refreshedVersion="6" minRefreshableVersion="3" recordCount="64" xr:uid="{ADFDB855-D604-415A-A44A-F90CFA59D898}">
  <cacheSource type="worksheet">
    <worksheetSource ref="J1:L1048576" sheet="Data"/>
  </cacheSource>
  <cacheFields count="3">
    <cacheField name="Primary Address Country" numFmtId="0">
      <sharedItems containsBlank="1" count="20">
        <m/>
        <s v="United States of America"/>
        <s v="Canada"/>
        <s v="United Kingdom"/>
        <s v="Monaco"/>
        <s v="Denmark" u="1"/>
        <s v="Liechtenstein " u="1"/>
        <s v="Switzerland" u="1"/>
        <s v="France" u="1"/>
        <s v="Italy" u="1"/>
        <s v="South Africa" u="1"/>
        <s v="Sweden" u="1"/>
        <s v="Luxembourg" u="1"/>
        <s v="Spain" u="1"/>
        <s v="Switzerland " u="1"/>
        <s v="Liechtenstein" u="1"/>
        <s v="Norway" u="1"/>
        <s v="Singapore" u="1"/>
        <s v="United Stated of America" u="1"/>
        <s v="Belgium" u="1"/>
      </sharedItems>
    </cacheField>
    <cacheField name="Currency" numFmtId="0">
      <sharedItems containsBlank="1"/>
    </cacheField>
    <cacheField name="AUM(MM)" numFmtId="0">
      <sharedItems containsString="0" containsBlank="1" containsNumber="1" containsInteger="1" minValue="0" maxValue="140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CM05" refreshedDate="43738.579406365738" createdVersion="6" refreshedVersion="6" minRefreshableVersion="3" recordCount="64" xr:uid="{22678E24-1397-4DC0-834D-F2905A62A86D}">
  <cacheSource type="worksheet">
    <worksheetSource ref="K1:L1048576" sheet="Data"/>
  </cacheSource>
  <cacheFields count="2">
    <cacheField name="Currency" numFmtId="0">
      <sharedItems containsBlank="1" count="6">
        <m/>
        <s v="USD"/>
        <s v="GBP"/>
        <s v="EUR"/>
        <s v="ESEK" u="1"/>
        <s v="CHF" u="1"/>
      </sharedItems>
    </cacheField>
    <cacheField name="AUM(MM)" numFmtId="0">
      <sharedItems containsString="0" containsBlank="1" containsNumber="1" containsInteger="1" minValue="0" maxValue="140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CM05" refreshedDate="43738.579406365738" createdVersion="6" refreshedVersion="6" minRefreshableVersion="3" recordCount="64" xr:uid="{2EE60130-8A21-4B02-B61D-1CDA3F9C89C2}">
  <cacheSource type="worksheet">
    <worksheetSource ref="J1:J1048576" sheet="Data"/>
  </cacheSource>
  <cacheFields count="1">
    <cacheField name="Primary Address Country" numFmtId="0">
      <sharedItems containsBlank="1" count="20">
        <m/>
        <s v="United States of America"/>
        <s v="Canada"/>
        <s v="United Kingdom"/>
        <s v="Monaco"/>
        <s v="Denmark" u="1"/>
        <s v="Liechtenstein " u="1"/>
        <s v="Switzerland" u="1"/>
        <s v="France" u="1"/>
        <s v="Italy" u="1"/>
        <s v="South Africa" u="1"/>
        <s v="Sweden" u="1"/>
        <s v="Luxembourg" u="1"/>
        <s v="Spain" u="1"/>
        <s v="Switzerland " u="1"/>
        <s v="Liechtenstein" u="1"/>
        <s v="Norway" u="1"/>
        <s v="Singapore" u="1"/>
        <s v="United Stated of America" u="1"/>
        <s v="Belgium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CM05" refreshedDate="43738.579406481484" createdVersion="6" refreshedVersion="6" minRefreshableVersion="3" recordCount="64" xr:uid="{E6FF4FB2-B9F3-4097-A49F-77E7051D707F}">
  <cacheSource type="worksheet">
    <worksheetSource ref="I1:I1048576" sheet="Data"/>
  </cacheSource>
  <cacheFields count="1">
    <cacheField name="Primary Address City" numFmtId="0">
      <sharedItems containsBlank="1" count="81">
        <m/>
        <s v="New York"/>
        <s v="Victoria BC"/>
        <s v="Bristol/ London"/>
        <s v="Monte-Carlo"/>
        <s v="Paris" u="1"/>
        <s v="Zurich " u="1"/>
        <s v="Phoenix AZ" u="1"/>
        <s v="LA" u="1"/>
        <s v="New York/ Geneva" u="1"/>
        <s v="Deerfield Beach" u="1"/>
        <s v="Oslo" u="1"/>
        <s v="Radnor" u="1"/>
        <s v="West Conshohocken" u="1"/>
        <s v="Portland" u="1"/>
        <s v="Little RockArk" u="1"/>
        <s v="Scarsdale" u="1"/>
        <s v="Zurich" u="1"/>
        <s v="Atlanta" u="1"/>
        <s v="Toronto" u="1"/>
        <s v="Montréal" u="1"/>
        <s v="Zurich/London" u="1"/>
        <s v="Cleveland" u="1"/>
        <s v="Boston" u="1"/>
        <s v="Milan" u="1"/>
        <s v="Trenton" u="1"/>
        <s v="Princeton, NJ" u="1"/>
        <s v="Lausanne" u="1"/>
        <s v="St. Louis" u="1"/>
        <s v="Luxembourg" u="1"/>
        <s v="South Norwalk" u="1"/>
        <s v="Vienna" u="1"/>
        <s v="San Francisco" u="1"/>
        <s v="Ottawa" u="1"/>
        <s v="New York City" u="1"/>
        <s v="Cardiff" u="1"/>
        <s v="Connecticut" u="1"/>
        <s v="Leeds" u="1"/>
        <s v="Monaco" u="1"/>
        <s v="Zürich" u="1"/>
        <s v="Washington" u="1"/>
        <s v="Miami" u="1"/>
        <s v="Glasgow" u="1"/>
        <s v="Rosebank" u="1"/>
        <s v="London/New York" u="1"/>
        <s v="Bendern" u="1"/>
        <s v="Stockholm" u="1"/>
        <s v="London/NY" u="1"/>
        <s v="Singapore" u="1"/>
        <s v="Philadelphia" u="1"/>
        <s v="Altrincham, Cheshire" u="1"/>
        <s v="New York/Geneva" u="1"/>
        <s v="Raleigh" u="1"/>
        <s v="Valencia" u="1"/>
        <s v="New Port Beach CA" u="1"/>
        <s v="Chicago" u="1"/>
        <s v="Seattle" u="1"/>
        <s v="Dallas" u="1"/>
        <s v="Louisville" u="1"/>
        <s v="Tokyo" u="1"/>
        <s v="Calgary" u="1"/>
        <s v="Tysons Corner" u="1"/>
        <s v="Geneva" u="1"/>
        <s v="Vaduz" u="1"/>
        <s v="Nashville" u="1"/>
        <s v="Los Angeles" u="1"/>
        <s v="Austin" u="1"/>
        <s v="Zollikon" u="1"/>
        <s v="Lugano, CH" u="1"/>
        <s v="Copenhagen" u="1"/>
        <s v="Paris La Defense" u="1"/>
        <s v="London" u="1"/>
        <s v="Ontario" u="1"/>
        <s v="Brussels" u="1"/>
        <s v="Vancouver/ New York" u="1"/>
        <s v="Neuilly-sur-Seine" u="1"/>
        <s v="Louisiana" u="1"/>
        <s v="Fort Worth" u="1"/>
        <s v="Newport Beach" u="1"/>
        <s v="Radnor PA" u="1"/>
        <s v="St. Francisville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CM05" refreshedDate="43738.579406481484" createdVersion="6" refreshedVersion="6" minRefreshableVersion="3" recordCount="300" xr:uid="{AC280117-CAD4-49B4-B142-A46275D1C3DC}">
  <cacheSource type="worksheet">
    <worksheetSource ref="N1:N1048576" sheet="Data"/>
  </cacheSource>
  <cacheFields count="3">
    <cacheField name="Date Sent" numFmtId="164">
      <sharedItems containsNonDate="0" containsDate="1" containsString="0" containsBlank="1" minDate="1900-01-01T00:00:00" maxDate="2019-07-19T00:00:00" count="9">
        <d v="1900-01-01T00:00:00"/>
        <d v="2019-01-16T00:00:00"/>
        <d v="2018-07-23T00:00:00"/>
        <d v="2018-10-16T00:00:00"/>
        <d v="2019-07-18T00:00:00"/>
        <d v="2019-03-09T00:00:00"/>
        <d v="2018-12-03T00:00:00"/>
        <d v="2019-06-20T00:00:00"/>
        <m/>
      </sharedItems>
      <fieldGroup par="2" base="0">
        <rangePr groupBy="months" startDate="1900-01-01T00:00:00" endDate="2019-07-19T00:00:00"/>
        <groupItems count="14">
          <s v="(blank)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7/19/2019"/>
        </groupItems>
      </fieldGroup>
    </cacheField>
    <cacheField name="Quarters" numFmtId="0" databaseField="0">
      <fieldGroup base="0">
        <rangePr groupBy="quarters" startDate="1900-01-01T00:00:00" endDate="2019-07-19T00:00:00"/>
        <groupItems count="6">
          <s v="&lt;1/2/1900"/>
          <s v="Qtr1"/>
          <s v="Qtr2"/>
          <s v="Qtr3"/>
          <s v="Qtr4"/>
          <s v="&gt;7/19/2019"/>
        </groupItems>
      </fieldGroup>
    </cacheField>
    <cacheField name="Years" numFmtId="0" databaseField="0">
      <fieldGroup base="0">
        <rangePr groupBy="years" startDate="1900-01-01T00:00:00" endDate="2019-07-19T00:00:00"/>
        <groupItems count="122">
          <s v="&lt;1/2/1900"/>
          <s v="1900"/>
          <s v="1901"/>
          <s v="1902"/>
          <s v="1903"/>
          <s v="1904"/>
          <s v="1905"/>
          <s v="1906"/>
          <s v="1907"/>
          <s v="1908"/>
          <s v="1909"/>
          <s v="1910"/>
          <s v="1911"/>
          <s v="1912"/>
          <s v="1913"/>
          <s v="1914"/>
          <s v="1915"/>
          <s v="1916"/>
          <s v="1917"/>
          <s v="1918"/>
          <s v="1919"/>
          <s v="1920"/>
          <s v="1921"/>
          <s v="1922"/>
          <s v="1923"/>
          <s v="1924"/>
          <s v="1925"/>
          <s v="1926"/>
          <s v="1927"/>
          <s v="1928"/>
          <s v="1929"/>
          <s v="1930"/>
          <s v="1931"/>
          <s v="1932"/>
          <s v="1933"/>
          <s v="1934"/>
          <s v="1935"/>
          <s v="1936"/>
          <s v="1937"/>
          <s v="1938"/>
          <s v="1939"/>
          <s v="1940"/>
          <s v="1941"/>
          <s v="1942"/>
          <s v="1943"/>
          <s v="1944"/>
          <s v="1945"/>
          <s v="1946"/>
          <s v="1947"/>
          <s v="1948"/>
          <s v="1949"/>
          <s v="1950"/>
          <s v="1951"/>
          <s v="1952"/>
          <s v="1953"/>
          <s v="1954"/>
          <s v="1955"/>
          <s v="1956"/>
          <s v="1957"/>
          <s v="1958"/>
          <s v="1959"/>
          <s v="1960"/>
          <s v="1961"/>
          <s v="1962"/>
          <s v="1963"/>
          <s v="1964"/>
          <s v="1965"/>
          <s v="1966"/>
          <s v="1967"/>
          <s v="1968"/>
          <s v="1969"/>
          <s v="1970"/>
          <s v="1971"/>
          <s v="1972"/>
          <s v="1973"/>
          <s v="1974"/>
          <s v="1975"/>
          <s v="1976"/>
          <s v="1977"/>
          <s v="1978"/>
          <s v="1979"/>
          <s v="1980"/>
          <s v="1981"/>
          <s v="1982"/>
          <s v="1983"/>
          <s v="1984"/>
          <s v="1985"/>
          <s v="1986"/>
          <s v="1987"/>
          <s v="1988"/>
          <s v="1989"/>
          <s v="1990"/>
          <s v="1991"/>
          <s v="1992"/>
          <s v="1993"/>
          <s v="1994"/>
          <s v="1995"/>
          <s v="1996"/>
          <s v="1997"/>
          <s v="1998"/>
          <s v="1999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&gt;7/19/2019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CM05" refreshedDate="43738.579406481484" createdVersion="6" refreshedVersion="6" minRefreshableVersion="3" recordCount="300" xr:uid="{4CA36037-836A-4AAD-9437-E76B714BCF0F}">
  <cacheSource type="worksheet">
    <worksheetSource ref="O1:O1048576" sheet="Data"/>
  </cacheSource>
  <cacheFields count="3">
    <cacheField name="Last Date sent" numFmtId="164">
      <sharedItems containsNonDate="0" containsDate="1" containsString="0" containsBlank="1" minDate="1900-01-01T00:00:00" maxDate="2019-05-21T00:00:00" count="42">
        <d v="1900-01-01T00:00:00"/>
        <d v="2019-01-16T00:00:00"/>
        <d v="2017-07-31T00:00:00"/>
        <d v="2018-06-06T00:00:00"/>
        <d v="2018-05-11T00:00:00"/>
        <d v="2018-04-10T00:00:00"/>
        <d v="2018-08-01T00:00:00"/>
        <d v="2018-07-31T00:00:00"/>
        <d v="2018-02-27T00:00:00"/>
        <d v="2018-03-05T00:00:00"/>
        <d v="2019-02-15T00:00:00"/>
        <d v="2018-04-16T00:00:00"/>
        <d v="2018-11-07T00:00:00"/>
        <d v="2018-03-06T00:00:00"/>
        <d v="2018-09-17T00:00:00"/>
        <d v="2019-01-11T00:00:00"/>
        <d v="2018-05-12T00:00:00"/>
        <d v="2018-03-13T00:00:00"/>
        <d v="2018-02-01T00:00:00"/>
        <d v="2018-04-25T00:00:00"/>
        <d v="2017-05-04T00:00:00"/>
        <d v="2018-04-30T00:00:00"/>
        <d v="2018-05-10T00:00:00"/>
        <d v="2018-08-15T00:00:00"/>
        <d v="2018-02-16T00:00:00"/>
        <d v="2018-08-02T00:00:00"/>
        <d v="2019-05-20T00:00:00"/>
        <d v="2018-08-20T00:00:00"/>
        <d v="2018-03-12T00:00:00"/>
        <d v="2018-09-27T00:00:00"/>
        <d v="2018-01-07T00:00:00"/>
        <d v="2018-12-28T00:00:00"/>
        <d v="2018-05-19T00:00:00"/>
        <d v="2018-02-07T00:00:00"/>
        <d v="2017-08-01T00:00:00"/>
        <d v="2019-04-16T00:00:00"/>
        <d v="2018-11-01T00:00:00"/>
        <d v="2019-03-09T00:00:00"/>
        <d v="2018-02-08T00:00:00"/>
        <d v="2018-09-25T00:00:00"/>
        <d v="2019-05-15T00:00:00"/>
        <m/>
      </sharedItems>
      <fieldGroup par="2" base="0">
        <rangePr groupBy="months" startDate="1900-01-01T00:00:00" endDate="2019-05-21T00:00:00"/>
        <groupItems count="14">
          <s v="(blank)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5/21/2019"/>
        </groupItems>
      </fieldGroup>
    </cacheField>
    <cacheField name="Quarters" numFmtId="0" databaseField="0">
      <fieldGroup base="0">
        <rangePr groupBy="quarters" startDate="1900-01-01T00:00:00" endDate="2019-05-21T00:00:00"/>
        <groupItems count="6">
          <s v="&lt;1/2/1900"/>
          <s v="Qtr1"/>
          <s v="Qtr2"/>
          <s v="Qtr3"/>
          <s v="Qtr4"/>
          <s v="&gt;5/21/2019"/>
        </groupItems>
      </fieldGroup>
    </cacheField>
    <cacheField name="Years" numFmtId="0" databaseField="0">
      <fieldGroup base="0">
        <rangePr groupBy="years" startDate="1900-01-01T00:00:00" endDate="2019-05-21T00:00:00"/>
        <groupItems count="122">
          <s v="&lt;1/2/1900"/>
          <s v="1900"/>
          <s v="1901"/>
          <s v="1902"/>
          <s v="1903"/>
          <s v="1904"/>
          <s v="1905"/>
          <s v="1906"/>
          <s v="1907"/>
          <s v="1908"/>
          <s v="1909"/>
          <s v="1910"/>
          <s v="1911"/>
          <s v="1912"/>
          <s v="1913"/>
          <s v="1914"/>
          <s v="1915"/>
          <s v="1916"/>
          <s v="1917"/>
          <s v="1918"/>
          <s v="1919"/>
          <s v="1920"/>
          <s v="1921"/>
          <s v="1922"/>
          <s v="1923"/>
          <s v="1924"/>
          <s v="1925"/>
          <s v="1926"/>
          <s v="1927"/>
          <s v="1928"/>
          <s v="1929"/>
          <s v="1930"/>
          <s v="1931"/>
          <s v="1932"/>
          <s v="1933"/>
          <s v="1934"/>
          <s v="1935"/>
          <s v="1936"/>
          <s v="1937"/>
          <s v="1938"/>
          <s v="1939"/>
          <s v="1940"/>
          <s v="1941"/>
          <s v="1942"/>
          <s v="1943"/>
          <s v="1944"/>
          <s v="1945"/>
          <s v="1946"/>
          <s v="1947"/>
          <s v="1948"/>
          <s v="1949"/>
          <s v="1950"/>
          <s v="1951"/>
          <s v="1952"/>
          <s v="1953"/>
          <s v="1954"/>
          <s v="1955"/>
          <s v="1956"/>
          <s v="1957"/>
          <s v="1958"/>
          <s v="1959"/>
          <s v="1960"/>
          <s v="1961"/>
          <s v="1962"/>
          <s v="1963"/>
          <s v="1964"/>
          <s v="1965"/>
          <s v="1966"/>
          <s v="1967"/>
          <s v="1968"/>
          <s v="1969"/>
          <s v="1970"/>
          <s v="1971"/>
          <s v="1972"/>
          <s v="1973"/>
          <s v="1974"/>
          <s v="1975"/>
          <s v="1976"/>
          <s v="1977"/>
          <s v="1978"/>
          <s v="1979"/>
          <s v="1980"/>
          <s v="1981"/>
          <s v="1982"/>
          <s v="1983"/>
          <s v="1984"/>
          <s v="1985"/>
          <s v="1986"/>
          <s v="1987"/>
          <s v="1988"/>
          <s v="1989"/>
          <s v="1990"/>
          <s v="1991"/>
          <s v="1992"/>
          <s v="1993"/>
          <s v="1994"/>
          <s v="1995"/>
          <s v="1996"/>
          <s v="1997"/>
          <s v="1998"/>
          <s v="1999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&gt;5/21/2019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4">
  <r>
    <x v="0"/>
    <m/>
    <n v="0"/>
  </r>
  <r>
    <x v="1"/>
    <s v="USD"/>
    <n v="140000"/>
  </r>
  <r>
    <x v="0"/>
    <m/>
    <n v="0"/>
  </r>
  <r>
    <x v="0"/>
    <m/>
    <n v="0"/>
  </r>
  <r>
    <x v="0"/>
    <m/>
    <n v="0"/>
  </r>
  <r>
    <x v="0"/>
    <m/>
    <n v="0"/>
  </r>
  <r>
    <x v="0"/>
    <m/>
    <n v="0"/>
  </r>
  <r>
    <x v="0"/>
    <m/>
    <n v="0"/>
  </r>
  <r>
    <x v="0"/>
    <m/>
    <n v="0"/>
  </r>
  <r>
    <x v="0"/>
    <m/>
    <n v="0"/>
  </r>
  <r>
    <x v="0"/>
    <m/>
    <n v="0"/>
  </r>
  <r>
    <x v="0"/>
    <m/>
    <n v="0"/>
  </r>
  <r>
    <x v="0"/>
    <m/>
    <n v="0"/>
  </r>
  <r>
    <x v="1"/>
    <m/>
    <n v="0"/>
  </r>
  <r>
    <x v="0"/>
    <m/>
    <n v="0"/>
  </r>
  <r>
    <x v="0"/>
    <m/>
    <n v="0"/>
  </r>
  <r>
    <x v="0"/>
    <m/>
    <n v="0"/>
  </r>
  <r>
    <x v="0"/>
    <m/>
    <n v="0"/>
  </r>
  <r>
    <x v="0"/>
    <m/>
    <n v="0"/>
  </r>
  <r>
    <x v="0"/>
    <m/>
    <n v="0"/>
  </r>
  <r>
    <x v="0"/>
    <m/>
    <n v="0"/>
  </r>
  <r>
    <x v="0"/>
    <m/>
    <n v="0"/>
  </r>
  <r>
    <x v="0"/>
    <m/>
    <n v="0"/>
  </r>
  <r>
    <x v="0"/>
    <m/>
    <n v="0"/>
  </r>
  <r>
    <x v="0"/>
    <m/>
    <n v="0"/>
  </r>
  <r>
    <x v="0"/>
    <m/>
    <n v="0"/>
  </r>
  <r>
    <x v="0"/>
    <m/>
    <n v="0"/>
  </r>
  <r>
    <x v="0"/>
    <m/>
    <n v="0"/>
  </r>
  <r>
    <x v="0"/>
    <m/>
    <n v="0"/>
  </r>
  <r>
    <x v="0"/>
    <m/>
    <n v="0"/>
  </r>
  <r>
    <x v="0"/>
    <m/>
    <n v="0"/>
  </r>
  <r>
    <x v="0"/>
    <m/>
    <n v="0"/>
  </r>
  <r>
    <x v="0"/>
    <m/>
    <n v="0"/>
  </r>
  <r>
    <x v="0"/>
    <m/>
    <n v="0"/>
  </r>
  <r>
    <x v="0"/>
    <m/>
    <n v="0"/>
  </r>
  <r>
    <x v="0"/>
    <m/>
    <n v="0"/>
  </r>
  <r>
    <x v="1"/>
    <s v="USD"/>
    <n v="10000"/>
  </r>
  <r>
    <x v="0"/>
    <m/>
    <n v="0"/>
  </r>
  <r>
    <x v="0"/>
    <m/>
    <n v="0"/>
  </r>
  <r>
    <x v="2"/>
    <s v="USD"/>
    <n v="121900"/>
  </r>
  <r>
    <x v="0"/>
    <m/>
    <n v="0"/>
  </r>
  <r>
    <x v="0"/>
    <m/>
    <n v="0"/>
  </r>
  <r>
    <x v="0"/>
    <m/>
    <n v="0"/>
  </r>
  <r>
    <x v="0"/>
    <m/>
    <n v="0"/>
  </r>
  <r>
    <x v="0"/>
    <m/>
    <n v="0"/>
  </r>
  <r>
    <x v="3"/>
    <s v="GBP"/>
    <n v="30000"/>
  </r>
  <r>
    <x v="4"/>
    <s v="EUR"/>
    <n v="150"/>
  </r>
  <r>
    <x v="0"/>
    <m/>
    <n v="0"/>
  </r>
  <r>
    <x v="2"/>
    <m/>
    <n v="0"/>
  </r>
  <r>
    <x v="0"/>
    <m/>
    <n v="0"/>
  </r>
  <r>
    <x v="0"/>
    <m/>
    <m/>
  </r>
  <r>
    <x v="0"/>
    <m/>
    <m/>
  </r>
  <r>
    <x v="0"/>
    <m/>
    <m/>
  </r>
  <r>
    <x v="0"/>
    <m/>
    <m/>
  </r>
  <r>
    <x v="0"/>
    <m/>
    <m/>
  </r>
  <r>
    <x v="0"/>
    <m/>
    <m/>
  </r>
  <r>
    <x v="0"/>
    <m/>
    <m/>
  </r>
  <r>
    <x v="0"/>
    <m/>
    <m/>
  </r>
  <r>
    <x v="0"/>
    <m/>
    <m/>
  </r>
  <r>
    <x v="0"/>
    <m/>
    <m/>
  </r>
  <r>
    <x v="0"/>
    <m/>
    <m/>
  </r>
  <r>
    <x v="0"/>
    <m/>
    <m/>
  </r>
  <r>
    <x v="0"/>
    <m/>
    <m/>
  </r>
  <r>
    <x v="0"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4">
  <r>
    <x v="0"/>
    <n v="0"/>
  </r>
  <r>
    <x v="1"/>
    <n v="140000"/>
  </r>
  <r>
    <x v="0"/>
    <n v="0"/>
  </r>
  <r>
    <x v="0"/>
    <n v="0"/>
  </r>
  <r>
    <x v="0"/>
    <n v="0"/>
  </r>
  <r>
    <x v="0"/>
    <n v="0"/>
  </r>
  <r>
    <x v="0"/>
    <n v="0"/>
  </r>
  <r>
    <x v="0"/>
    <n v="0"/>
  </r>
  <r>
    <x v="0"/>
    <n v="0"/>
  </r>
  <r>
    <x v="0"/>
    <n v="0"/>
  </r>
  <r>
    <x v="0"/>
    <n v="0"/>
  </r>
  <r>
    <x v="0"/>
    <n v="0"/>
  </r>
  <r>
    <x v="0"/>
    <n v="0"/>
  </r>
  <r>
    <x v="0"/>
    <n v="0"/>
  </r>
  <r>
    <x v="0"/>
    <n v="0"/>
  </r>
  <r>
    <x v="0"/>
    <n v="0"/>
  </r>
  <r>
    <x v="0"/>
    <n v="0"/>
  </r>
  <r>
    <x v="0"/>
    <n v="0"/>
  </r>
  <r>
    <x v="0"/>
    <n v="0"/>
  </r>
  <r>
    <x v="0"/>
    <n v="0"/>
  </r>
  <r>
    <x v="0"/>
    <n v="0"/>
  </r>
  <r>
    <x v="0"/>
    <n v="0"/>
  </r>
  <r>
    <x v="0"/>
    <n v="0"/>
  </r>
  <r>
    <x v="0"/>
    <n v="0"/>
  </r>
  <r>
    <x v="0"/>
    <n v="0"/>
  </r>
  <r>
    <x v="0"/>
    <n v="0"/>
  </r>
  <r>
    <x v="0"/>
    <n v="0"/>
  </r>
  <r>
    <x v="0"/>
    <n v="0"/>
  </r>
  <r>
    <x v="0"/>
    <n v="0"/>
  </r>
  <r>
    <x v="0"/>
    <n v="0"/>
  </r>
  <r>
    <x v="0"/>
    <n v="0"/>
  </r>
  <r>
    <x v="0"/>
    <n v="0"/>
  </r>
  <r>
    <x v="0"/>
    <n v="0"/>
  </r>
  <r>
    <x v="0"/>
    <n v="0"/>
  </r>
  <r>
    <x v="0"/>
    <n v="0"/>
  </r>
  <r>
    <x v="0"/>
    <n v="0"/>
  </r>
  <r>
    <x v="1"/>
    <n v="10000"/>
  </r>
  <r>
    <x v="0"/>
    <n v="0"/>
  </r>
  <r>
    <x v="0"/>
    <n v="0"/>
  </r>
  <r>
    <x v="1"/>
    <n v="121900"/>
  </r>
  <r>
    <x v="0"/>
    <n v="0"/>
  </r>
  <r>
    <x v="0"/>
    <n v="0"/>
  </r>
  <r>
    <x v="0"/>
    <n v="0"/>
  </r>
  <r>
    <x v="0"/>
    <n v="0"/>
  </r>
  <r>
    <x v="0"/>
    <n v="0"/>
  </r>
  <r>
    <x v="2"/>
    <n v="30000"/>
  </r>
  <r>
    <x v="3"/>
    <n v="150"/>
  </r>
  <r>
    <x v="0"/>
    <n v="0"/>
  </r>
  <r>
    <x v="0"/>
    <n v="0"/>
  </r>
  <r>
    <x v="0"/>
    <n v="0"/>
  </r>
  <r>
    <x v="0"/>
    <m/>
  </r>
  <r>
    <x v="0"/>
    <m/>
  </r>
  <r>
    <x v="0"/>
    <m/>
  </r>
  <r>
    <x v="0"/>
    <m/>
  </r>
  <r>
    <x v="0"/>
    <m/>
  </r>
  <r>
    <x v="0"/>
    <m/>
  </r>
  <r>
    <x v="0"/>
    <m/>
  </r>
  <r>
    <x v="0"/>
    <m/>
  </r>
  <r>
    <x v="0"/>
    <m/>
  </r>
  <r>
    <x v="0"/>
    <m/>
  </r>
  <r>
    <x v="0"/>
    <m/>
  </r>
  <r>
    <x v="0"/>
    <m/>
  </r>
  <r>
    <x v="0"/>
    <m/>
  </r>
  <r>
    <x v="0"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4">
  <r>
    <x v="0"/>
  </r>
  <r>
    <x v="1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1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1"/>
  </r>
  <r>
    <x v="0"/>
  </r>
  <r>
    <x v="0"/>
  </r>
  <r>
    <x v="2"/>
  </r>
  <r>
    <x v="0"/>
  </r>
  <r>
    <x v="0"/>
  </r>
  <r>
    <x v="0"/>
  </r>
  <r>
    <x v="0"/>
  </r>
  <r>
    <x v="0"/>
  </r>
  <r>
    <x v="3"/>
  </r>
  <r>
    <x v="4"/>
  </r>
  <r>
    <x v="0"/>
  </r>
  <r>
    <x v="2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4">
  <r>
    <x v="0"/>
  </r>
  <r>
    <x v="1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1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1"/>
  </r>
  <r>
    <x v="0"/>
  </r>
  <r>
    <x v="0"/>
  </r>
  <r>
    <x v="2"/>
  </r>
  <r>
    <x v="0"/>
  </r>
  <r>
    <x v="0"/>
  </r>
  <r>
    <x v="0"/>
  </r>
  <r>
    <x v="0"/>
  </r>
  <r>
    <x v="0"/>
  </r>
  <r>
    <x v="3"/>
  </r>
  <r>
    <x v="4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0">
  <r>
    <x v="0"/>
  </r>
  <r>
    <x v="1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2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3"/>
  </r>
  <r>
    <x v="0"/>
  </r>
  <r>
    <x v="0"/>
  </r>
  <r>
    <x v="4"/>
  </r>
  <r>
    <x v="0"/>
  </r>
  <r>
    <x v="0"/>
  </r>
  <r>
    <x v="0"/>
  </r>
  <r>
    <x v="0"/>
  </r>
  <r>
    <x v="0"/>
  </r>
  <r>
    <x v="5"/>
  </r>
  <r>
    <x v="6"/>
  </r>
  <r>
    <x v="0"/>
  </r>
  <r>
    <x v="7"/>
  </r>
  <r>
    <x v="0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0">
  <r>
    <x v="0"/>
  </r>
  <r>
    <x v="0"/>
  </r>
  <r>
    <x v="1"/>
  </r>
  <r>
    <x v="2"/>
  </r>
  <r>
    <x v="3"/>
  </r>
  <r>
    <x v="4"/>
  </r>
  <r>
    <x v="5"/>
  </r>
  <r>
    <x v="6"/>
  </r>
  <r>
    <x v="7"/>
  </r>
  <r>
    <x v="8"/>
  </r>
  <r>
    <x v="9"/>
  </r>
  <r>
    <x v="10"/>
  </r>
  <r>
    <x v="11"/>
  </r>
  <r>
    <x v="3"/>
  </r>
  <r>
    <x v="12"/>
  </r>
  <r>
    <x v="13"/>
  </r>
  <r>
    <x v="14"/>
  </r>
  <r>
    <x v="15"/>
  </r>
  <r>
    <x v="12"/>
  </r>
  <r>
    <x v="16"/>
  </r>
  <r>
    <x v="17"/>
  </r>
  <r>
    <x v="18"/>
  </r>
  <r>
    <x v="19"/>
  </r>
  <r>
    <x v="20"/>
  </r>
  <r>
    <x v="18"/>
  </r>
  <r>
    <x v="21"/>
  </r>
  <r>
    <x v="22"/>
  </r>
  <r>
    <x v="23"/>
  </r>
  <r>
    <x v="24"/>
  </r>
  <r>
    <x v="25"/>
  </r>
  <r>
    <x v="26"/>
  </r>
  <r>
    <x v="27"/>
  </r>
  <r>
    <x v="28"/>
  </r>
  <r>
    <x v="29"/>
  </r>
  <r>
    <x v="30"/>
  </r>
  <r>
    <x v="31"/>
  </r>
  <r>
    <x v="0"/>
  </r>
  <r>
    <x v="32"/>
  </r>
  <r>
    <x v="33"/>
  </r>
  <r>
    <x v="0"/>
  </r>
  <r>
    <x v="34"/>
  </r>
  <r>
    <x v="35"/>
  </r>
  <r>
    <x v="36"/>
  </r>
  <r>
    <x v="37"/>
  </r>
  <r>
    <x v="38"/>
  </r>
  <r>
    <x v="0"/>
  </r>
  <r>
    <x v="0"/>
  </r>
  <r>
    <x v="39"/>
  </r>
  <r>
    <x v="0"/>
  </r>
  <r>
    <x v="40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2DE23F-08E6-4A38-82C4-476E9F739EC8}" name="PivotTable1" cacheId="26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3" fieldListSortAscending="1">
  <location ref="A1:B7" firstHeaderRow="1" firstDataRow="1" firstDataCol="1"/>
  <pivotFields count="3">
    <pivotField axis="axisRow" showAll="0" measureFilter="1">
      <items count="21">
        <item m="1" x="19"/>
        <item x="2"/>
        <item m="1" x="5"/>
        <item m="1" x="8"/>
        <item m="1" x="9"/>
        <item m="1" x="15"/>
        <item m="1" x="6"/>
        <item m="1" x="12"/>
        <item x="4"/>
        <item m="1" x="16"/>
        <item m="1" x="17"/>
        <item m="1" x="10"/>
        <item m="1" x="13"/>
        <item m="1" x="11"/>
        <item m="1" x="7"/>
        <item m="1" x="14"/>
        <item x="3"/>
        <item m="1" x="18"/>
        <item x="1"/>
        <item x="0"/>
        <item t="default"/>
      </items>
    </pivotField>
    <pivotField showAll="0"/>
    <pivotField dataField="1" showAll="0"/>
  </pivotFields>
  <rowFields count="1">
    <field x="0"/>
  </rowFields>
  <rowItems count="6">
    <i>
      <x v="1"/>
    </i>
    <i>
      <x v="8"/>
    </i>
    <i>
      <x v="16"/>
    </i>
    <i>
      <x v="18"/>
    </i>
    <i>
      <x v="19"/>
    </i>
    <i t="grand">
      <x/>
    </i>
  </rowItems>
  <colItems count="1">
    <i/>
  </colItems>
  <dataFields count="1">
    <dataField name="Sum of AUM(MM)" fld="2" baseField="0" baseItem="0"/>
  </dataFields>
  <chartFormats count="6">
    <chartFormat chart="2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8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2" format="9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2" format="10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2" format="1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2" format="12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E90E2B5-6C1A-4B94-A8F1-47237DADBC68}" name="PivotTable6" cacheId="4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3">
  <location ref="D19:E24" firstHeaderRow="1" firstDataRow="1" firstDataCol="1"/>
  <pivotFields count="3">
    <pivotField axis="axisRow" dataField="1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Row" showAll="0">
      <items count="7">
        <item sd="0" x="0"/>
        <item sd="0" x="1"/>
        <item sd="0" x="2"/>
        <item x="3"/>
        <item sd="0" x="4"/>
        <item x="5"/>
        <item t="default"/>
      </items>
    </pivotField>
    <pivotField axis="axisRow" showAll="0">
      <items count="123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x="120"/>
        <item x="121"/>
        <item t="default"/>
      </items>
    </pivotField>
  </pivotFields>
  <rowFields count="3">
    <field x="2"/>
    <field x="1"/>
    <field x="0"/>
  </rowFields>
  <rowItems count="5">
    <i>
      <x v="119"/>
    </i>
    <i>
      <x v="120"/>
    </i>
    <i r="1">
      <x v="1"/>
    </i>
    <i r="1">
      <x v="2"/>
    </i>
    <i t="grand">
      <x/>
    </i>
  </rowItems>
  <colItems count="1">
    <i/>
  </colItems>
  <dataFields count="1">
    <dataField name="Count of Last Date sent" fld="0" subtotal="count" baseField="0" baseItem="0"/>
  </dataField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dateNewerThan" evalOrder="-1" id="1">
      <autoFilter ref="A1">
        <filterColumn colId="0">
          <customFilters>
            <customFilter operator="greaterThan" val="4310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6E9834A-3796-4149-846A-30F1EF871CA9}" name="PivotTable5" cacheId="38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3">
  <location ref="A19:B26" firstHeaderRow="1" firstDataRow="1" firstDataCol="1"/>
  <pivotFields count="3">
    <pivotField axis="axisRow" dataField="1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Row" showAll="0">
      <items count="7">
        <item sd="0" x="0"/>
        <item sd="0" x="1"/>
        <item sd="0" x="2"/>
        <item x="3"/>
        <item sd="0" x="4"/>
        <item x="5"/>
        <item t="default"/>
      </items>
    </pivotField>
    <pivotField axis="axisRow" showAll="0">
      <items count="123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x="120"/>
        <item x="121"/>
        <item t="default"/>
      </items>
    </pivotField>
  </pivotFields>
  <rowFields count="3">
    <field x="2"/>
    <field x="1"/>
    <field x="0"/>
  </rowFields>
  <rowItems count="7">
    <i>
      <x v="119"/>
    </i>
    <i>
      <x v="120"/>
    </i>
    <i r="1">
      <x v="1"/>
    </i>
    <i r="1">
      <x v="2"/>
    </i>
    <i r="1">
      <x v="3"/>
    </i>
    <i r="2">
      <x v="7"/>
    </i>
    <i t="grand">
      <x/>
    </i>
  </rowItems>
  <colItems count="1">
    <i/>
  </colItems>
  <dataFields count="1">
    <dataField name="Count of Date Sent" fld="0" subtotal="count" baseField="0" baseItem="0"/>
  </dataField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dateNewerThan" evalOrder="-1" id="3">
      <autoFilter ref="A1">
        <filterColumn colId="0">
          <customFilters>
            <customFilter operator="greaterThan" val="4310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482E136-8533-40A2-BD38-3EA1A84A530F}" name="PivotTable4" cacheId="35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3">
  <location ref="D10:E16" firstHeaderRow="1" firstDataRow="1" firstDataCol="1"/>
  <pivotFields count="1">
    <pivotField axis="axisRow" dataField="1" showAll="0" measureFilter="1">
      <items count="82">
        <item m="1" x="50"/>
        <item m="1" x="18"/>
        <item m="1" x="66"/>
        <item m="1" x="45"/>
        <item m="1" x="23"/>
        <item x="3"/>
        <item m="1" x="73"/>
        <item m="1" x="60"/>
        <item m="1" x="35"/>
        <item m="1" x="55"/>
        <item m="1" x="22"/>
        <item m="1" x="36"/>
        <item m="1" x="69"/>
        <item m="1" x="57"/>
        <item m="1" x="10"/>
        <item m="1" x="77"/>
        <item m="1" x="62"/>
        <item m="1" x="42"/>
        <item m="1" x="8"/>
        <item m="1" x="27"/>
        <item m="1" x="37"/>
        <item m="1" x="15"/>
        <item m="1" x="71"/>
        <item m="1" x="44"/>
        <item m="1" x="47"/>
        <item m="1" x="65"/>
        <item m="1" x="76"/>
        <item m="1" x="58"/>
        <item m="1" x="68"/>
        <item m="1" x="29"/>
        <item m="1" x="41"/>
        <item m="1" x="24"/>
        <item m="1" x="38"/>
        <item x="4"/>
        <item m="1" x="20"/>
        <item m="1" x="64"/>
        <item m="1" x="75"/>
        <item m="1" x="54"/>
        <item x="1"/>
        <item m="1" x="34"/>
        <item m="1" x="9"/>
        <item m="1" x="51"/>
        <item m="1" x="78"/>
        <item m="1" x="72"/>
        <item m="1" x="11"/>
        <item m="1" x="33"/>
        <item m="1" x="5"/>
        <item m="1" x="70"/>
        <item m="1" x="49"/>
        <item m="1" x="7"/>
        <item m="1" x="14"/>
        <item m="1" x="26"/>
        <item m="1" x="12"/>
        <item m="1" x="79"/>
        <item m="1" x="52"/>
        <item m="1" x="43"/>
        <item m="1" x="32"/>
        <item m="1" x="16"/>
        <item m="1" x="56"/>
        <item m="1" x="48"/>
        <item m="1" x="30"/>
        <item m="1" x="80"/>
        <item m="1" x="28"/>
        <item m="1" x="46"/>
        <item m="1" x="59"/>
        <item m="1" x="19"/>
        <item m="1" x="25"/>
        <item m="1" x="61"/>
        <item m="1" x="63"/>
        <item m="1" x="53"/>
        <item m="1" x="74"/>
        <item x="2"/>
        <item m="1" x="31"/>
        <item m="1" x="40"/>
        <item m="1" x="13"/>
        <item m="1" x="67"/>
        <item m="1" x="17"/>
        <item m="1" x="39"/>
        <item m="1" x="6"/>
        <item m="1" x="21"/>
        <item x="0"/>
        <item t="default"/>
      </items>
    </pivotField>
  </pivotFields>
  <rowFields count="1">
    <field x="0"/>
  </rowFields>
  <rowItems count="6">
    <i>
      <x v="5"/>
    </i>
    <i>
      <x v="33"/>
    </i>
    <i>
      <x v="38"/>
    </i>
    <i>
      <x v="71"/>
    </i>
    <i>
      <x v="80"/>
    </i>
    <i t="grand">
      <x/>
    </i>
  </rowItems>
  <colItems count="1">
    <i/>
  </colItems>
  <dataFields count="1">
    <dataField name="Count of Primary Address City" fld="0" subtotal="count" baseField="0" baseItem="0"/>
  </dataFields>
  <chartFormats count="6">
    <chartFormat chart="2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8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2" format="9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2" format="10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2" format="1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2" format="12">
      <pivotArea type="data" outline="0" fieldPosition="0">
        <references count="2">
          <reference field="4294967294" count="1" selected="0">
            <x v="0"/>
          </reference>
          <reference field="0" count="1" selected="0">
            <x v="76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6B6C4F6-D458-48E5-B419-E71F4B2699FA}" name="PivotTable3" cacheId="3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3">
  <location ref="A10:B16" firstHeaderRow="1" firstDataRow="1" firstDataCol="1"/>
  <pivotFields count="1">
    <pivotField axis="axisRow" dataField="1" showAll="0" measureFilter="1">
      <items count="21">
        <item m="1" x="19"/>
        <item x="2"/>
        <item m="1" x="5"/>
        <item m="1" x="8"/>
        <item m="1" x="9"/>
        <item m="1" x="15"/>
        <item m="1" x="6"/>
        <item m="1" x="12"/>
        <item x="4"/>
        <item m="1" x="16"/>
        <item m="1" x="17"/>
        <item m="1" x="10"/>
        <item m="1" x="13"/>
        <item m="1" x="11"/>
        <item m="1" x="7"/>
        <item m="1" x="14"/>
        <item x="3"/>
        <item m="1" x="18"/>
        <item x="1"/>
        <item x="0"/>
        <item t="default"/>
      </items>
    </pivotField>
  </pivotFields>
  <rowFields count="1">
    <field x="0"/>
  </rowFields>
  <rowItems count="6">
    <i>
      <x v="1"/>
    </i>
    <i>
      <x v="8"/>
    </i>
    <i>
      <x v="16"/>
    </i>
    <i>
      <x v="18"/>
    </i>
    <i>
      <x v="19"/>
    </i>
    <i t="grand">
      <x/>
    </i>
  </rowItems>
  <colItems count="1">
    <i/>
  </colItems>
  <dataFields count="1">
    <dataField name="Count of Primary Address Country" fld="0" subtotal="count" baseField="0" baseItem="0"/>
  </dataFields>
  <chartFormats count="6">
    <chartFormat chart="2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8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2" format="9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2" format="10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2" format="1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2" format="12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8BF9D8E-A3E9-44B0-BA5B-4056ADD2B547}" name="PivotTable2" cacheId="29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3">
  <location ref="D1:E6" firstHeaderRow="1" firstDataRow="1" firstDataCol="1"/>
  <pivotFields count="2">
    <pivotField axis="axisRow" showAll="0" measureFilter="1">
      <items count="7">
        <item m="1" x="5"/>
        <item m="1" x="4"/>
        <item x="3"/>
        <item x="2"/>
        <item x="1"/>
        <item x="0"/>
        <item t="default"/>
      </items>
    </pivotField>
    <pivotField dataField="1" showAll="0"/>
  </pivotFields>
  <rowFields count="1">
    <field x="0"/>
  </rowFields>
  <rowItems count="5"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Sum of AUM(MM)" fld="1" baseField="0" baseItem="0"/>
  </dataFields>
  <chartFormats count="6">
    <chartFormat chart="2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8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" format="9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2" format="10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2" format="1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2" format="12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38CC8AA-B4F7-453D-81D0-3667B5E8E3EF}" name="Table6" displayName="Table6" ref="A1:U1048576" totalsRowShown="0" headerRowDxfId="0" dataDxfId="1" headerRowBorderDxfId="23">
  <autoFilter ref="A1:U1048576" xr:uid="{F8DC2BDB-7CE7-4AA0-BCB1-0596697989CE}"/>
  <sortState ref="A2:U1048576">
    <sortCondition ref="H1:H1048576"/>
  </sortState>
  <tableColumns count="21">
    <tableColumn id="1" xr3:uid="{891F3946-7286-40AE-80E8-EDE05D66F8B7}" name="ID" dataDxfId="22"/>
    <tableColumn id="2" xr3:uid="{9A1AF7C8-82F7-4A28-9A7E-414E9CBEDBD9}" name="Account Name" dataDxfId="21"/>
    <tableColumn id="3" xr3:uid="{30A499AC-E655-4976-ABD2-407BB9EB7BAB}" name="First Name" dataDxfId="20"/>
    <tableColumn id="4" xr3:uid="{E9F4C4EB-B354-4518-AC9B-68B950F52873}" name="Last Name" dataDxfId="19"/>
    <tableColumn id="5" xr3:uid="{AB62A15B-0576-4AFD-95A7-E82BA348A676}" name="Title" dataDxfId="18"/>
    <tableColumn id="6" xr3:uid="{E2A04F25-2F7C-4285-9832-E796E7F7DD3B}" name="Office Phone" dataDxfId="17"/>
    <tableColumn id="7" xr3:uid="{079D27B0-4192-4BB1-98AC-40E2BB0E69D3}" name="Email Address" dataDxfId="16"/>
    <tableColumn id="8" xr3:uid="{C9152FF1-EA17-455E-8333-A196085E16DA}" name="Primary Street Address" dataDxfId="15"/>
    <tableColumn id="9" xr3:uid="{43DF4CB1-6E57-48F2-A1C5-16A8904D1D56}" name="Primary Address City" dataDxfId="14"/>
    <tableColumn id="10" xr3:uid="{42A6CAEA-D53C-4197-B8E8-E5EEE432A200}" name="Primary Address Country" dataDxfId="13"/>
    <tableColumn id="11" xr3:uid="{4937625A-1BF1-4632-AE1D-7DE6C9A17927}" name="Currency" dataDxfId="12"/>
    <tableColumn id="12" xr3:uid="{F6A650E2-3202-4374-B6E4-95DE5FA61731}" name="AUM(MM)" dataDxfId="11"/>
    <tableColumn id="13" xr3:uid="{5A387C29-E8B8-4C2A-9E7F-F6F25031CE4B}" name="Source" dataDxfId="10"/>
    <tableColumn id="14" xr3:uid="{CF1E838E-F071-48C4-84EC-5ACE4AFADD72}" name="Date Sent" dataDxfId="9"/>
    <tableColumn id="15" xr3:uid="{F9C2E699-E392-4938-87AD-B8DACC48977D}" name="Last Date sent" dataDxfId="8"/>
    <tableColumn id="16" xr3:uid="{5E443C52-C27A-4628-A038-AEB8DEE94859}" name="Status" dataDxfId="7"/>
    <tableColumn id="17" xr3:uid="{D2F4C78B-695D-47A0-B0C2-476602321564}" name="Description" dataDxfId="6"/>
    <tableColumn id="18" xr3:uid="{5F05D303-4844-4BC8-9F24-A2D396ABD4FF}" name="Comments1" dataDxfId="5"/>
    <tableColumn id="19" xr3:uid="{7093D02C-445B-4C1D-8716-E9F5E7DCDF89}" name="Comments2" dataDxfId="4"/>
    <tableColumn id="20" xr3:uid="{E8AE524F-B2D9-48FE-AAA2-B29C28CBE075}" name="Comments3" dataDxfId="3"/>
    <tableColumn id="21" xr3:uid="{E6D75CD0-B7A9-4790-893C-B7F0D2D2F2F1}" name="Comments4" dataDxf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mailto:Shaolun.du@gmail.com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A01E99-650F-47FE-B555-4997F349B763}">
  <sheetPr>
    <tabColor theme="4"/>
  </sheetPr>
  <dimension ref="A1:C45"/>
  <sheetViews>
    <sheetView showGridLines="0" tabSelected="1" workbookViewId="0">
      <selection activeCell="I15" sqref="I15"/>
    </sheetView>
  </sheetViews>
  <sheetFormatPr defaultRowHeight="15" x14ac:dyDescent="0.25"/>
  <cols>
    <col min="1" max="1" width="14.7109375" customWidth="1"/>
  </cols>
  <sheetData>
    <row r="1" spans="1:3" ht="15.75" x14ac:dyDescent="0.25">
      <c r="A1" s="71" t="s">
        <v>107</v>
      </c>
    </row>
    <row r="2" spans="1:3" ht="15.75" x14ac:dyDescent="0.25">
      <c r="A2" s="71"/>
      <c r="B2" t="s">
        <v>111</v>
      </c>
    </row>
    <row r="3" spans="1:3" ht="15.75" x14ac:dyDescent="0.25">
      <c r="A3" s="71"/>
      <c r="B3" t="s">
        <v>108</v>
      </c>
    </row>
    <row r="4" spans="1:3" ht="15.75" x14ac:dyDescent="0.25">
      <c r="A4" s="71"/>
      <c r="B4" t="s">
        <v>112</v>
      </c>
    </row>
    <row r="5" spans="1:3" ht="15.75" x14ac:dyDescent="0.25">
      <c r="A5" s="71"/>
      <c r="B5" t="s">
        <v>109</v>
      </c>
    </row>
    <row r="6" spans="1:3" ht="15.75" x14ac:dyDescent="0.25">
      <c r="A6" s="71"/>
      <c r="B6" t="s">
        <v>113</v>
      </c>
    </row>
    <row r="7" spans="1:3" ht="15.75" x14ac:dyDescent="0.25">
      <c r="A7" s="71"/>
      <c r="B7" t="s">
        <v>110</v>
      </c>
    </row>
    <row r="8" spans="1:3" ht="15.75" x14ac:dyDescent="0.25">
      <c r="A8" s="71"/>
      <c r="B8" t="s">
        <v>114</v>
      </c>
    </row>
    <row r="9" spans="1:3" ht="15.75" x14ac:dyDescent="0.25">
      <c r="A9" s="71" t="s">
        <v>115</v>
      </c>
      <c r="B9" t="s">
        <v>116</v>
      </c>
    </row>
    <row r="10" spans="1:3" ht="15.75" x14ac:dyDescent="0.25">
      <c r="A10" s="71" t="s">
        <v>117</v>
      </c>
      <c r="B10" s="70" t="s">
        <v>118</v>
      </c>
      <c r="C10" s="70"/>
    </row>
    <row r="11" spans="1:3" ht="15.75" x14ac:dyDescent="0.25">
      <c r="A11" s="71" t="s">
        <v>119</v>
      </c>
    </row>
    <row r="12" spans="1:3" ht="15.75" x14ac:dyDescent="0.25">
      <c r="A12" s="71" t="s">
        <v>73</v>
      </c>
    </row>
    <row r="13" spans="1:3" ht="15.75" x14ac:dyDescent="0.25">
      <c r="A13" s="71" t="s">
        <v>74</v>
      </c>
    </row>
    <row r="14" spans="1:3" ht="15.75" x14ac:dyDescent="0.25">
      <c r="A14" s="71"/>
      <c r="B14" t="s">
        <v>75</v>
      </c>
    </row>
    <row r="15" spans="1:3" ht="15.75" x14ac:dyDescent="0.25">
      <c r="A15" s="71"/>
      <c r="B15" t="s">
        <v>76</v>
      </c>
    </row>
    <row r="16" spans="1:3" ht="15.75" x14ac:dyDescent="0.25">
      <c r="A16" s="71" t="s">
        <v>77</v>
      </c>
    </row>
    <row r="17" spans="2:3" x14ac:dyDescent="0.25">
      <c r="B17" t="s">
        <v>78</v>
      </c>
    </row>
    <row r="18" spans="2:3" x14ac:dyDescent="0.25">
      <c r="C18" t="s">
        <v>82</v>
      </c>
    </row>
    <row r="19" spans="2:3" x14ac:dyDescent="0.25">
      <c r="C19" t="s">
        <v>80</v>
      </c>
    </row>
    <row r="20" spans="2:3" x14ac:dyDescent="0.25">
      <c r="C20" t="s">
        <v>79</v>
      </c>
    </row>
    <row r="21" spans="2:3" x14ac:dyDescent="0.25">
      <c r="B21" t="s">
        <v>81</v>
      </c>
    </row>
    <row r="22" spans="2:3" x14ac:dyDescent="0.25">
      <c r="C22" t="s">
        <v>83</v>
      </c>
    </row>
    <row r="23" spans="2:3" x14ac:dyDescent="0.25">
      <c r="C23" t="s">
        <v>84</v>
      </c>
    </row>
    <row r="24" spans="2:3" x14ac:dyDescent="0.25">
      <c r="C24" t="s">
        <v>79</v>
      </c>
    </row>
    <row r="25" spans="2:3" x14ac:dyDescent="0.25">
      <c r="B25" t="s">
        <v>85</v>
      </c>
    </row>
    <row r="26" spans="2:3" x14ac:dyDescent="0.25">
      <c r="C26" t="s">
        <v>86</v>
      </c>
    </row>
    <row r="27" spans="2:3" x14ac:dyDescent="0.25">
      <c r="C27" t="s">
        <v>87</v>
      </c>
    </row>
    <row r="28" spans="2:3" x14ac:dyDescent="0.25">
      <c r="B28" t="s">
        <v>99</v>
      </c>
    </row>
    <row r="29" spans="2:3" x14ac:dyDescent="0.25">
      <c r="C29" t="s">
        <v>88</v>
      </c>
    </row>
    <row r="30" spans="2:3" x14ac:dyDescent="0.25">
      <c r="C30" t="s">
        <v>89</v>
      </c>
    </row>
    <row r="31" spans="2:3" x14ac:dyDescent="0.25">
      <c r="C31" t="s">
        <v>90</v>
      </c>
    </row>
    <row r="32" spans="2:3" x14ac:dyDescent="0.25">
      <c r="B32" t="s">
        <v>98</v>
      </c>
    </row>
    <row r="33" spans="2:3" x14ac:dyDescent="0.25">
      <c r="C33" t="s">
        <v>92</v>
      </c>
    </row>
    <row r="34" spans="2:3" x14ac:dyDescent="0.25">
      <c r="C34" t="s">
        <v>93</v>
      </c>
    </row>
    <row r="35" spans="2:3" x14ac:dyDescent="0.25">
      <c r="C35" t="s">
        <v>94</v>
      </c>
    </row>
    <row r="36" spans="2:3" x14ac:dyDescent="0.25">
      <c r="C36" t="s">
        <v>95</v>
      </c>
    </row>
    <row r="37" spans="2:3" x14ac:dyDescent="0.25">
      <c r="B37" t="s">
        <v>100</v>
      </c>
    </row>
    <row r="38" spans="2:3" x14ac:dyDescent="0.25">
      <c r="C38" t="s">
        <v>96</v>
      </c>
    </row>
    <row r="39" spans="2:3" x14ac:dyDescent="0.25">
      <c r="C39" t="s">
        <v>97</v>
      </c>
    </row>
    <row r="40" spans="2:3" x14ac:dyDescent="0.25">
      <c r="B40" t="s">
        <v>101</v>
      </c>
    </row>
    <row r="41" spans="2:3" x14ac:dyDescent="0.25">
      <c r="C41" t="s">
        <v>102</v>
      </c>
    </row>
    <row r="42" spans="2:3" x14ac:dyDescent="0.25">
      <c r="C42" t="s">
        <v>103</v>
      </c>
    </row>
    <row r="43" spans="2:3" x14ac:dyDescent="0.25">
      <c r="B43" t="s">
        <v>104</v>
      </c>
    </row>
    <row r="44" spans="2:3" x14ac:dyDescent="0.25">
      <c r="C44" t="s">
        <v>106</v>
      </c>
    </row>
    <row r="45" spans="2:3" x14ac:dyDescent="0.25">
      <c r="C45" t="s">
        <v>105</v>
      </c>
    </row>
  </sheetData>
  <hyperlinks>
    <hyperlink ref="B10" r:id="rId1" xr:uid="{628D1AF0-6AEE-4ED5-A379-5813DC72BF73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39B889-FF3A-435A-9A3C-89CEEA06B058}">
  <sheetPr codeName="Sheet9">
    <tabColor rgb="FFFFC000"/>
  </sheetPr>
  <dimension ref="A1:U54"/>
  <sheetViews>
    <sheetView showGridLines="0" workbookViewId="0">
      <selection activeCell="C15" sqref="C15"/>
    </sheetView>
  </sheetViews>
  <sheetFormatPr defaultRowHeight="15" x14ac:dyDescent="0.25"/>
  <cols>
    <col min="1" max="1" width="16.7109375" customWidth="1"/>
    <col min="2" max="2" width="30.42578125" customWidth="1"/>
    <col min="3" max="3" width="23.85546875" customWidth="1"/>
    <col min="4" max="4" width="26.7109375" customWidth="1"/>
    <col min="5" max="5" width="15" customWidth="1"/>
    <col min="6" max="6" width="12.28515625" customWidth="1"/>
    <col min="7" max="7" width="15" customWidth="1"/>
    <col min="8" max="8" width="30.7109375" customWidth="1"/>
    <col min="9" max="10" width="14.7109375" customWidth="1"/>
    <col min="11" max="12" width="11.28515625" customWidth="1"/>
    <col min="13" max="14" width="10.42578125" style="35" bestFit="1" customWidth="1"/>
  </cols>
  <sheetData>
    <row r="1" spans="1:8" ht="36.75" customHeight="1" x14ac:dyDescent="0.4">
      <c r="A1" s="74" t="s">
        <v>72</v>
      </c>
      <c r="B1" s="75"/>
      <c r="C1" s="75"/>
      <c r="D1" s="75"/>
      <c r="E1" s="27"/>
      <c r="F1" s="27"/>
      <c r="G1" s="27"/>
    </row>
    <row r="2" spans="1:8" ht="10.5" customHeight="1" x14ac:dyDescent="0.25">
      <c r="A2" s="26"/>
      <c r="B2" s="26"/>
      <c r="C2" s="26"/>
      <c r="D2" s="26"/>
      <c r="E2" s="26"/>
      <c r="F2" s="26"/>
      <c r="G2" s="26"/>
    </row>
    <row r="3" spans="1:8" ht="18" x14ac:dyDescent="0.25">
      <c r="A3" s="26"/>
      <c r="B3" s="26"/>
      <c r="C3" s="26"/>
      <c r="D3" s="26"/>
      <c r="E3" s="26"/>
      <c r="F3" s="26"/>
      <c r="G3" s="26"/>
    </row>
    <row r="4" spans="1:8" ht="18.75" thickBot="1" x14ac:dyDescent="0.3">
      <c r="A4" s="26"/>
      <c r="B4" s="26"/>
      <c r="C4" s="26"/>
      <c r="D4" s="26"/>
      <c r="E4" s="26"/>
      <c r="F4" s="26"/>
      <c r="G4" s="26"/>
    </row>
    <row r="5" spans="1:8" ht="19.5" thickBot="1" x14ac:dyDescent="0.35">
      <c r="A5" s="30" t="s">
        <v>28</v>
      </c>
      <c r="B5" s="31" t="s">
        <v>91</v>
      </c>
    </row>
    <row r="6" spans="1:8" x14ac:dyDescent="0.25">
      <c r="A6" s="15" t="s">
        <v>27</v>
      </c>
      <c r="B6" s="63" t="s">
        <v>323</v>
      </c>
      <c r="C6" s="16" t="s">
        <v>6</v>
      </c>
      <c r="D6" s="63"/>
      <c r="E6" s="16" t="s">
        <v>11</v>
      </c>
      <c r="F6" s="66">
        <v>2</v>
      </c>
      <c r="G6" s="16" t="s">
        <v>14</v>
      </c>
      <c r="H6" s="68"/>
    </row>
    <row r="7" spans="1:8" x14ac:dyDescent="0.25">
      <c r="A7" s="20" t="s">
        <v>0</v>
      </c>
      <c r="B7" s="62" t="s">
        <v>123</v>
      </c>
      <c r="C7" s="6" t="s">
        <v>7</v>
      </c>
      <c r="D7" s="62"/>
      <c r="E7" s="6" t="s">
        <v>12</v>
      </c>
      <c r="F7" s="67">
        <v>43481</v>
      </c>
      <c r="G7" s="6" t="s">
        <v>15</v>
      </c>
      <c r="H7" s="69"/>
    </row>
    <row r="8" spans="1:8" x14ac:dyDescent="0.25">
      <c r="A8" s="20" t="s">
        <v>1</v>
      </c>
      <c r="B8" s="62" t="s">
        <v>173</v>
      </c>
      <c r="C8" s="6" t="s">
        <v>8</v>
      </c>
      <c r="D8" s="62"/>
      <c r="E8" s="6" t="s">
        <v>13</v>
      </c>
      <c r="F8" s="65"/>
      <c r="G8" s="6" t="s">
        <v>16</v>
      </c>
      <c r="H8" s="69"/>
    </row>
    <row r="9" spans="1:8" x14ac:dyDescent="0.25">
      <c r="A9" s="20" t="s">
        <v>2</v>
      </c>
      <c r="B9" s="62" t="s">
        <v>223</v>
      </c>
      <c r="C9" s="6" t="s">
        <v>54</v>
      </c>
      <c r="D9" s="65"/>
      <c r="E9" s="11"/>
      <c r="F9" s="11"/>
      <c r="G9" s="6" t="s">
        <v>17</v>
      </c>
      <c r="H9" s="69"/>
    </row>
    <row r="10" spans="1:8" x14ac:dyDescent="0.25">
      <c r="A10" s="20" t="s">
        <v>3</v>
      </c>
      <c r="B10" s="62" t="s">
        <v>273</v>
      </c>
      <c r="C10" s="6" t="s">
        <v>9</v>
      </c>
      <c r="D10" s="62">
        <v>0</v>
      </c>
      <c r="E10" s="11"/>
      <c r="F10" s="11"/>
      <c r="G10" s="6" t="s">
        <v>18</v>
      </c>
      <c r="H10" s="69"/>
    </row>
    <row r="11" spans="1:8" x14ac:dyDescent="0.25">
      <c r="A11" s="20" t="s">
        <v>4</v>
      </c>
      <c r="B11" s="62">
        <v>222</v>
      </c>
      <c r="C11" s="6" t="s">
        <v>10</v>
      </c>
      <c r="D11" s="62"/>
      <c r="E11" s="11"/>
      <c r="F11" s="11"/>
      <c r="G11" s="6" t="s">
        <v>19</v>
      </c>
      <c r="H11" s="69" t="e">
        <v>#REF!</v>
      </c>
    </row>
    <row r="12" spans="1:8" ht="15.75" thickBot="1" x14ac:dyDescent="0.3">
      <c r="A12" s="22" t="s">
        <v>5</v>
      </c>
      <c r="B12" s="64"/>
      <c r="C12" s="23"/>
      <c r="D12" s="23"/>
      <c r="E12" s="23"/>
      <c r="F12" s="23"/>
      <c r="G12" s="23"/>
      <c r="H12" s="24"/>
    </row>
    <row r="13" spans="1:8" ht="15.75" thickBot="1" x14ac:dyDescent="0.3"/>
    <row r="14" spans="1:8" ht="21" x14ac:dyDescent="0.35">
      <c r="A14" s="76" t="s">
        <v>29</v>
      </c>
      <c r="B14" s="77"/>
    </row>
    <row r="15" spans="1:8" ht="15.75" x14ac:dyDescent="0.25">
      <c r="A15" s="20" t="s">
        <v>30</v>
      </c>
      <c r="B15" s="54">
        <v>50</v>
      </c>
    </row>
    <row r="16" spans="1:8" ht="15.75" x14ac:dyDescent="0.25">
      <c r="A16" s="20" t="s">
        <v>31</v>
      </c>
      <c r="B16" s="28">
        <v>5</v>
      </c>
    </row>
    <row r="17" spans="1:8" ht="15.75" x14ac:dyDescent="0.25">
      <c r="A17" s="20" t="s">
        <v>32</v>
      </c>
      <c r="B17" s="28">
        <v>5</v>
      </c>
    </row>
    <row r="18" spans="1:8" ht="16.5" thickBot="1" x14ac:dyDescent="0.3">
      <c r="A18" s="22" t="s">
        <v>33</v>
      </c>
      <c r="B18" s="29">
        <v>43664</v>
      </c>
    </row>
    <row r="20" spans="1:8" ht="15.75" thickBot="1" x14ac:dyDescent="0.3"/>
    <row r="21" spans="1:8" ht="23.25" x14ac:dyDescent="0.35">
      <c r="A21" s="72" t="s">
        <v>26</v>
      </c>
      <c r="B21" s="73"/>
    </row>
    <row r="22" spans="1:8" ht="19.5" thickBot="1" x14ac:dyDescent="0.35">
      <c r="A22" s="25" t="s">
        <v>27</v>
      </c>
      <c r="B22" s="55" t="s">
        <v>323</v>
      </c>
    </row>
    <row r="23" spans="1:8" x14ac:dyDescent="0.25">
      <c r="A23" s="15" t="s">
        <v>27</v>
      </c>
      <c r="B23" s="56" t="s">
        <v>323</v>
      </c>
      <c r="C23" s="16" t="s">
        <v>6</v>
      </c>
      <c r="D23" s="17"/>
      <c r="E23" s="16" t="s">
        <v>11</v>
      </c>
      <c r="F23" s="18">
        <v>2</v>
      </c>
      <c r="G23" s="16" t="s">
        <v>14</v>
      </c>
      <c r="H23" s="19"/>
    </row>
    <row r="24" spans="1:8" x14ac:dyDescent="0.25">
      <c r="A24" s="20" t="s">
        <v>0</v>
      </c>
      <c r="B24" s="11" t="s">
        <v>123</v>
      </c>
      <c r="C24" s="6" t="s">
        <v>7</v>
      </c>
      <c r="D24" s="12"/>
      <c r="E24" s="6" t="s">
        <v>12</v>
      </c>
      <c r="F24" s="13">
        <v>43481</v>
      </c>
      <c r="G24" s="6" t="s">
        <v>15</v>
      </c>
      <c r="H24" s="21"/>
    </row>
    <row r="25" spans="1:8" x14ac:dyDescent="0.25">
      <c r="A25" s="20" t="s">
        <v>1</v>
      </c>
      <c r="B25" s="11" t="s">
        <v>173</v>
      </c>
      <c r="C25" s="6" t="s">
        <v>8</v>
      </c>
      <c r="D25" s="12"/>
      <c r="E25" s="6" t="s">
        <v>13</v>
      </c>
      <c r="F25" s="14"/>
      <c r="G25" s="6" t="s">
        <v>16</v>
      </c>
      <c r="H25" s="21"/>
    </row>
    <row r="26" spans="1:8" x14ac:dyDescent="0.25">
      <c r="A26" s="20" t="s">
        <v>2</v>
      </c>
      <c r="B26" s="11" t="s">
        <v>223</v>
      </c>
      <c r="C26" s="6" t="s">
        <v>54</v>
      </c>
      <c r="D26" s="14"/>
      <c r="E26" s="11"/>
      <c r="F26" s="11"/>
      <c r="G26" s="6" t="s">
        <v>17</v>
      </c>
      <c r="H26" s="21"/>
    </row>
    <row r="27" spans="1:8" x14ac:dyDescent="0.25">
      <c r="A27" s="20" t="s">
        <v>3</v>
      </c>
      <c r="B27" s="11" t="s">
        <v>273</v>
      </c>
      <c r="C27" s="6" t="s">
        <v>9</v>
      </c>
      <c r="D27" s="12">
        <v>0</v>
      </c>
      <c r="E27" s="11"/>
      <c r="F27" s="11"/>
      <c r="G27" s="6" t="s">
        <v>18</v>
      </c>
      <c r="H27" s="21"/>
    </row>
    <row r="28" spans="1:8" x14ac:dyDescent="0.25">
      <c r="A28" s="20" t="s">
        <v>4</v>
      </c>
      <c r="B28" s="11">
        <v>222</v>
      </c>
      <c r="C28" s="6" t="s">
        <v>10</v>
      </c>
      <c r="D28" s="11"/>
      <c r="E28" s="11"/>
      <c r="F28" s="11"/>
      <c r="G28" s="6" t="s">
        <v>19</v>
      </c>
      <c r="H28" s="21" t="e">
        <v>#REF!</v>
      </c>
    </row>
    <row r="29" spans="1:8" ht="15.75" thickBot="1" x14ac:dyDescent="0.3">
      <c r="A29" s="22" t="s">
        <v>5</v>
      </c>
      <c r="B29" s="23"/>
      <c r="C29" s="23"/>
      <c r="D29" s="23"/>
      <c r="E29" s="23"/>
      <c r="F29" s="23"/>
      <c r="G29" s="23"/>
      <c r="H29" s="24"/>
    </row>
    <row r="30" spans="1:8" ht="15.75" thickBot="1" x14ac:dyDescent="0.3"/>
    <row r="31" spans="1:8" ht="23.25" x14ac:dyDescent="0.35">
      <c r="A31" s="72" t="s">
        <v>34</v>
      </c>
      <c r="B31" s="73"/>
    </row>
    <row r="32" spans="1:8" ht="19.5" thickBot="1" x14ac:dyDescent="0.35">
      <c r="A32" s="25" t="s">
        <v>35</v>
      </c>
      <c r="B32" s="33" t="s">
        <v>7</v>
      </c>
    </row>
    <row r="33" spans="1:21" ht="19.5" thickBot="1" x14ac:dyDescent="0.35">
      <c r="A33" s="32" t="s">
        <v>36</v>
      </c>
      <c r="B33" s="34" t="s">
        <v>41</v>
      </c>
    </row>
    <row r="34" spans="1:21" s="42" customFormat="1" ht="11.25" x14ac:dyDescent="0.2">
      <c r="A34" s="41" t="s">
        <v>27</v>
      </c>
      <c r="B34" s="38" t="s">
        <v>0</v>
      </c>
      <c r="C34" s="38" t="s">
        <v>1</v>
      </c>
      <c r="D34" s="38" t="s">
        <v>2</v>
      </c>
      <c r="E34" s="38" t="s">
        <v>3</v>
      </c>
      <c r="F34" s="38" t="s">
        <v>4</v>
      </c>
      <c r="G34" s="38" t="s">
        <v>5</v>
      </c>
      <c r="H34" s="38" t="s">
        <v>6</v>
      </c>
      <c r="I34" s="38" t="s">
        <v>7</v>
      </c>
      <c r="J34" s="38" t="s">
        <v>8</v>
      </c>
      <c r="K34" s="38" t="s">
        <v>9</v>
      </c>
      <c r="L34" s="38" t="s">
        <v>10</v>
      </c>
      <c r="M34" s="39" t="s">
        <v>11</v>
      </c>
      <c r="N34" s="39" t="s">
        <v>12</v>
      </c>
      <c r="O34" s="38" t="s">
        <v>13</v>
      </c>
      <c r="P34" s="38" t="s">
        <v>14</v>
      </c>
      <c r="Q34" s="38" t="s">
        <v>15</v>
      </c>
      <c r="R34" s="38" t="s">
        <v>16</v>
      </c>
      <c r="S34" s="38" t="s">
        <v>17</v>
      </c>
      <c r="T34" s="38" t="s">
        <v>18</v>
      </c>
      <c r="U34" s="40" t="s">
        <v>19</v>
      </c>
    </row>
    <row r="35" spans="1:21" x14ac:dyDescent="0.25">
      <c r="A35" s="42" t="s">
        <v>360</v>
      </c>
      <c r="B35" t="s">
        <v>160</v>
      </c>
      <c r="C35" t="s">
        <v>210</v>
      </c>
      <c r="D35" t="s">
        <v>260</v>
      </c>
      <c r="E35" t="s">
        <v>310</v>
      </c>
      <c r="F35">
        <v>4329</v>
      </c>
      <c r="I35" t="s">
        <v>41</v>
      </c>
      <c r="J35" t="s">
        <v>21</v>
      </c>
      <c r="K35" t="s">
        <v>56</v>
      </c>
      <c r="L35">
        <v>121900</v>
      </c>
      <c r="M35" s="35" t="s">
        <v>39</v>
      </c>
      <c r="N35" s="35">
        <v>43664</v>
      </c>
      <c r="O35">
        <v>2</v>
      </c>
      <c r="Q35" t="s">
        <v>371</v>
      </c>
    </row>
    <row r="36" spans="1:21" x14ac:dyDescent="0.25">
      <c r="A36" s="42"/>
    </row>
    <row r="37" spans="1:21" x14ac:dyDescent="0.25">
      <c r="A37" s="42"/>
    </row>
    <row r="38" spans="1:21" x14ac:dyDescent="0.25">
      <c r="A38" s="42"/>
    </row>
    <row r="39" spans="1:21" x14ac:dyDescent="0.25">
      <c r="A39" s="42"/>
    </row>
    <row r="40" spans="1:21" x14ac:dyDescent="0.25">
      <c r="A40" s="42"/>
    </row>
    <row r="41" spans="1:21" x14ac:dyDescent="0.25">
      <c r="A41" s="42"/>
    </row>
    <row r="42" spans="1:21" x14ac:dyDescent="0.25">
      <c r="A42" s="42"/>
    </row>
    <row r="43" spans="1:21" x14ac:dyDescent="0.25">
      <c r="A43" s="42"/>
    </row>
    <row r="44" spans="1:21" x14ac:dyDescent="0.25">
      <c r="A44" s="42"/>
    </row>
    <row r="45" spans="1:21" x14ac:dyDescent="0.25">
      <c r="A45" s="42"/>
    </row>
    <row r="46" spans="1:21" x14ac:dyDescent="0.25">
      <c r="A46" s="42"/>
    </row>
    <row r="47" spans="1:21" x14ac:dyDescent="0.25">
      <c r="A47" s="42"/>
    </row>
    <row r="48" spans="1:21" x14ac:dyDescent="0.25">
      <c r="A48" s="42"/>
    </row>
    <row r="49" spans="1:1" x14ac:dyDescent="0.25">
      <c r="A49" s="42"/>
    </row>
    <row r="50" spans="1:1" x14ac:dyDescent="0.25">
      <c r="A50" s="42"/>
    </row>
    <row r="51" spans="1:1" x14ac:dyDescent="0.25">
      <c r="A51" s="42"/>
    </row>
    <row r="52" spans="1:1" x14ac:dyDescent="0.25">
      <c r="A52" s="42"/>
    </row>
    <row r="53" spans="1:1" x14ac:dyDescent="0.25">
      <c r="A53" s="42"/>
    </row>
    <row r="54" spans="1:1" x14ac:dyDescent="0.25">
      <c r="A54" s="42"/>
    </row>
  </sheetData>
  <mergeCells count="4">
    <mergeCell ref="A21:B21"/>
    <mergeCell ref="A1:D1"/>
    <mergeCell ref="A14:B14"/>
    <mergeCell ref="A31:B31"/>
  </mergeCells>
  <dataValidations count="2">
    <dataValidation type="list" allowBlank="1" showInputMessage="1" showErrorMessage="1" sqref="B5" xr:uid="{B5897FDD-724D-4EC1-B580-D815A78A6D29}">
      <formula1>"Insert,Delete,Update"</formula1>
    </dataValidation>
    <dataValidation type="list" allowBlank="1" showInputMessage="1" showErrorMessage="1" sqref="B33" xr:uid="{8D43548D-CFF7-4B55-8CE4-DB4048E88B2D}">
      <formula1>",New York,Victoria BC,Bristol/ London,Monte-Carlo,"</formula1>
    </dataValidation>
  </dataValidations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4" name="Button 4">
              <controlPr defaultSize="0" print="0" autoFill="0" autoPict="0" macro="[0]!Refresh_all">
                <anchor moveWithCells="1" sizeWithCells="1">
                  <from>
                    <xdr:col>0</xdr:col>
                    <xdr:colOff>1095375</xdr:colOff>
                    <xdr:row>1</xdr:row>
                    <xdr:rowOff>9525</xdr:rowOff>
                  </from>
                  <to>
                    <xdr:col>1</xdr:col>
                    <xdr:colOff>1000125</xdr:colOff>
                    <xdr:row>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Update">
                <anchor moveWithCells="1" sizeWithCells="1">
                  <from>
                    <xdr:col>0</xdr:col>
                    <xdr:colOff>0</xdr:colOff>
                    <xdr:row>1</xdr:row>
                    <xdr:rowOff>9525</xdr:rowOff>
                  </from>
                  <to>
                    <xdr:col>0</xdr:col>
                    <xdr:colOff>1085850</xdr:colOff>
                    <xdr:row>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upload_crm">
                <anchor moveWithCells="1" sizeWithCells="1">
                  <from>
                    <xdr:col>1</xdr:col>
                    <xdr:colOff>1000125</xdr:colOff>
                    <xdr:row>1</xdr:row>
                    <xdr:rowOff>9525</xdr:rowOff>
                  </from>
                  <to>
                    <xdr:col>2</xdr:col>
                    <xdr:colOff>0</xdr:colOff>
                    <xdr:row>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7" name="Button 7">
              <controlPr defaultSize="0" print="0" autoFill="0" autoPict="0" macro="[0]!download_crm">
                <anchor moveWithCells="1" sizeWithCells="1">
                  <from>
                    <xdr:col>2</xdr:col>
                    <xdr:colOff>0</xdr:colOff>
                    <xdr:row>1</xdr:row>
                    <xdr:rowOff>19050</xdr:rowOff>
                  </from>
                  <to>
                    <xdr:col>2</xdr:col>
                    <xdr:colOff>1057275</xdr:colOff>
                    <xdr:row>3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545E884-B018-4674-96B5-02AF3239F338}">
          <x14:formula1>
            <xm:f>Data!$A$1:$O$1</xm:f>
          </x14:formula1>
          <xm:sqref>B32</xm:sqref>
        </x14:dataValidation>
        <x14:dataValidation type="list" allowBlank="1" showInputMessage="1" showErrorMessage="1" xr:uid="{5EDA90A9-CC9F-42EC-AC6F-F5F7FBDB359B}">
          <x14:formula1>
            <xm:f>Data!$A:$A</xm:f>
          </x14:formula1>
          <xm:sqref>B22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1F4F19-C2F0-47AC-A41B-9FFC7757F28B}">
  <sheetPr codeName="Sheet1">
    <tabColor theme="9"/>
    <pageSetUpPr fitToPage="1"/>
  </sheetPr>
  <dimension ref="A1:G17"/>
  <sheetViews>
    <sheetView showGridLines="0" zoomScale="130" zoomScaleNormal="130" workbookViewId="0">
      <selection activeCell="D44" sqref="D44"/>
    </sheetView>
  </sheetViews>
  <sheetFormatPr defaultRowHeight="15" x14ac:dyDescent="0.25"/>
  <cols>
    <col min="1" max="1" width="13.140625" bestFit="1" customWidth="1"/>
    <col min="2" max="2" width="14.5703125" bestFit="1" customWidth="1"/>
    <col min="3" max="3" width="12.42578125" bestFit="1" customWidth="1"/>
    <col min="4" max="4" width="15.7109375" customWidth="1"/>
    <col min="5" max="5" width="13" customWidth="1"/>
    <col min="6" max="6" width="14.140625" customWidth="1"/>
    <col min="7" max="7" width="13.85546875" customWidth="1"/>
    <col min="8" max="9" width="17.7109375" customWidth="1"/>
    <col min="10" max="14" width="9.42578125" customWidth="1"/>
    <col min="15" max="17" width="10.85546875" customWidth="1"/>
    <col min="18" max="20" width="11.42578125" customWidth="1"/>
    <col min="21" max="21" width="5.28515625" bestFit="1" customWidth="1"/>
    <col min="22" max="22" width="5.42578125" bestFit="1" customWidth="1"/>
    <col min="23" max="23" width="7.85546875" bestFit="1" customWidth="1"/>
    <col min="24" max="24" width="7.28515625" bestFit="1" customWidth="1"/>
    <col min="25" max="25" width="11.28515625" bestFit="1" customWidth="1"/>
  </cols>
  <sheetData>
    <row r="1" spans="1:7" ht="18" x14ac:dyDescent="0.25">
      <c r="A1" s="78" t="s">
        <v>72</v>
      </c>
      <c r="B1" s="78"/>
      <c r="C1" s="78"/>
      <c r="D1" s="78"/>
      <c r="E1" s="78"/>
      <c r="F1" s="78"/>
      <c r="G1" s="78"/>
    </row>
    <row r="2" spans="1:7" ht="21" x14ac:dyDescent="0.25">
      <c r="A2" s="9"/>
      <c r="B2" s="8"/>
      <c r="C2" s="8"/>
      <c r="D2" s="8"/>
      <c r="E2" s="8"/>
      <c r="F2" s="10" t="s">
        <v>120</v>
      </c>
      <c r="G2" s="7">
        <f ca="1">TODAY()</f>
        <v>43738</v>
      </c>
    </row>
    <row r="3" spans="1:7" ht="15" customHeight="1" x14ac:dyDescent="0.35">
      <c r="A3" s="5"/>
      <c r="B3" s="5"/>
      <c r="C3" s="5"/>
      <c r="D3" s="3"/>
      <c r="E3" s="2"/>
      <c r="F3" s="2"/>
    </row>
    <row r="4" spans="1:7" ht="15" customHeight="1" x14ac:dyDescent="0.35">
      <c r="A4" s="5"/>
      <c r="B4" s="5"/>
      <c r="C4" s="5"/>
      <c r="D4" s="3"/>
      <c r="E4" s="2"/>
      <c r="F4" s="2"/>
    </row>
    <row r="5" spans="1:7" ht="15" customHeight="1" x14ac:dyDescent="0.35">
      <c r="A5" s="5"/>
      <c r="B5" s="5"/>
      <c r="C5" s="5"/>
      <c r="D5" s="3"/>
      <c r="E5" s="2"/>
      <c r="F5" s="2"/>
    </row>
    <row r="6" spans="1:7" ht="15" customHeight="1" x14ac:dyDescent="0.35">
      <c r="A6" s="5"/>
      <c r="B6" s="5"/>
      <c r="C6" s="5"/>
      <c r="D6" s="3"/>
      <c r="E6" s="2"/>
      <c r="F6" s="2"/>
    </row>
    <row r="7" spans="1:7" ht="15" customHeight="1" x14ac:dyDescent="0.35">
      <c r="A7" s="5"/>
      <c r="B7" s="5"/>
      <c r="C7" s="5"/>
      <c r="D7" s="3"/>
      <c r="E7" s="2"/>
      <c r="F7" s="2"/>
    </row>
    <row r="8" spans="1:7" ht="15" customHeight="1" x14ac:dyDescent="0.35">
      <c r="A8" s="5"/>
      <c r="B8" s="5"/>
      <c r="C8" s="5"/>
      <c r="D8" s="3"/>
      <c r="E8" s="2"/>
      <c r="F8" s="2"/>
    </row>
    <row r="9" spans="1:7" ht="15" customHeight="1" x14ac:dyDescent="0.25"/>
    <row r="10" spans="1:7" ht="15" customHeight="1" x14ac:dyDescent="0.25"/>
    <row r="11" spans="1:7" ht="15" customHeight="1" x14ac:dyDescent="0.25"/>
    <row r="12" spans="1:7" ht="15" customHeight="1" x14ac:dyDescent="0.25"/>
    <row r="13" spans="1:7" ht="15" customHeight="1" x14ac:dyDescent="0.25"/>
    <row r="17" spans="1:1" x14ac:dyDescent="0.25">
      <c r="A17" s="43"/>
    </row>
  </sheetData>
  <mergeCells count="1">
    <mergeCell ref="A1:G1"/>
  </mergeCells>
  <pageMargins left="0" right="0" top="0" bottom="0" header="0" footer="0"/>
  <pageSetup fitToHeight="0" orientation="portrait" horizontalDpi="0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4C2802-2E66-437B-A977-D8E334B5A787}">
  <sheetPr codeName="Sheet3">
    <tabColor theme="9"/>
  </sheetPr>
  <dimension ref="A1:V1260"/>
  <sheetViews>
    <sheetView workbookViewId="0">
      <selection sqref="A1:R1048576"/>
    </sheetView>
  </sheetViews>
  <sheetFormatPr defaultRowHeight="15" x14ac:dyDescent="0.25"/>
  <cols>
    <col min="1" max="1" width="5" style="49" customWidth="1"/>
    <col min="2" max="2" width="22.5703125" style="49" customWidth="1"/>
    <col min="3" max="3" width="12.7109375" style="49" customWidth="1"/>
    <col min="4" max="4" width="12.28515625" style="49" customWidth="1"/>
    <col min="5" max="5" width="17.5703125" style="49" customWidth="1"/>
    <col min="6" max="6" width="14.7109375" style="49" customWidth="1"/>
    <col min="7" max="7" width="15.5703125" style="49" customWidth="1"/>
    <col min="8" max="8" width="23.42578125" style="49" customWidth="1"/>
    <col min="9" max="9" width="21.42578125" style="49" customWidth="1"/>
    <col min="10" max="10" width="25" style="49" customWidth="1"/>
    <col min="11" max="11" width="11" style="49" customWidth="1"/>
    <col min="12" max="12" width="13.42578125" style="50" customWidth="1"/>
    <col min="13" max="13" width="13" style="50" customWidth="1"/>
    <col min="14" max="14" width="15.42578125" style="50" customWidth="1"/>
    <col min="15" max="15" width="15.42578125" style="49" customWidth="1"/>
    <col min="16" max="16" width="13.42578125" style="49" customWidth="1"/>
    <col min="17" max="21" width="13.7109375" style="49" customWidth="1"/>
  </cols>
  <sheetData>
    <row r="1" spans="1:22" x14ac:dyDescent="0.25">
      <c r="A1" s="46" t="s">
        <v>27</v>
      </c>
      <c r="B1" s="47" t="s">
        <v>0</v>
      </c>
      <c r="C1" s="47" t="s">
        <v>1</v>
      </c>
      <c r="D1" s="47" t="s">
        <v>2</v>
      </c>
      <c r="E1" s="47" t="s">
        <v>3</v>
      </c>
      <c r="F1" s="47" t="s">
        <v>4</v>
      </c>
      <c r="G1" s="47" t="s">
        <v>5</v>
      </c>
      <c r="H1" s="47" t="s">
        <v>6</v>
      </c>
      <c r="I1" s="47" t="s">
        <v>7</v>
      </c>
      <c r="J1" s="47" t="s">
        <v>8</v>
      </c>
      <c r="K1" s="47" t="s">
        <v>54</v>
      </c>
      <c r="L1" s="48" t="s">
        <v>55</v>
      </c>
      <c r="M1" s="48" t="s">
        <v>10</v>
      </c>
      <c r="N1" s="48" t="s">
        <v>11</v>
      </c>
      <c r="O1" s="47" t="s">
        <v>12</v>
      </c>
      <c r="P1" s="47" t="s">
        <v>13</v>
      </c>
      <c r="Q1" s="47" t="s">
        <v>14</v>
      </c>
      <c r="R1" s="47" t="s">
        <v>15</v>
      </c>
      <c r="S1" s="47" t="s">
        <v>16</v>
      </c>
      <c r="T1" s="47" t="s">
        <v>17</v>
      </c>
      <c r="U1" s="47" t="s">
        <v>18</v>
      </c>
      <c r="V1" s="44"/>
    </row>
    <row r="2" spans="1:22" s="45" customFormat="1" x14ac:dyDescent="0.25">
      <c r="A2" s="49" t="s">
        <v>321</v>
      </c>
      <c r="B2" s="49" t="s">
        <v>121</v>
      </c>
      <c r="C2" s="49" t="s">
        <v>171</v>
      </c>
      <c r="D2" s="49" t="s">
        <v>221</v>
      </c>
      <c r="E2" s="49" t="s">
        <v>271</v>
      </c>
      <c r="F2" s="49">
        <v>0</v>
      </c>
      <c r="G2" s="49"/>
      <c r="H2" s="49"/>
      <c r="I2" s="49"/>
      <c r="J2" s="49"/>
      <c r="K2" s="49"/>
      <c r="L2" s="50">
        <v>0</v>
      </c>
      <c r="M2" s="51"/>
      <c r="N2" s="51">
        <v>2</v>
      </c>
      <c r="O2" s="49">
        <v>2</v>
      </c>
      <c r="P2" s="49"/>
      <c r="Q2" s="49" t="s">
        <v>372</v>
      </c>
      <c r="R2" s="49"/>
      <c r="S2" s="49"/>
      <c r="T2" s="49"/>
      <c r="U2" s="49"/>
    </row>
    <row r="3" spans="1:22" x14ac:dyDescent="0.25">
      <c r="A3" s="49" t="s">
        <v>322</v>
      </c>
      <c r="B3" s="49" t="s">
        <v>122</v>
      </c>
      <c r="C3" s="49" t="s">
        <v>172</v>
      </c>
      <c r="D3" s="49" t="s">
        <v>222</v>
      </c>
      <c r="E3" s="49" t="s">
        <v>272</v>
      </c>
      <c r="F3" s="49">
        <v>111</v>
      </c>
      <c r="G3" s="49" t="s">
        <v>48</v>
      </c>
      <c r="I3" s="49" t="s">
        <v>45</v>
      </c>
      <c r="J3" s="49" t="s">
        <v>20</v>
      </c>
      <c r="K3" s="49" t="s">
        <v>56</v>
      </c>
      <c r="L3" s="50">
        <v>140000</v>
      </c>
      <c r="M3" s="51" t="s">
        <v>39</v>
      </c>
      <c r="N3" s="51">
        <v>43481</v>
      </c>
      <c r="O3" s="49">
        <v>2</v>
      </c>
      <c r="P3" s="49" t="s">
        <v>25</v>
      </c>
      <c r="Q3" s="49" t="s">
        <v>49</v>
      </c>
    </row>
    <row r="4" spans="1:22" x14ac:dyDescent="0.25">
      <c r="A4" s="49" t="s">
        <v>323</v>
      </c>
      <c r="B4" s="49" t="s">
        <v>123</v>
      </c>
      <c r="C4" s="49" t="s">
        <v>173</v>
      </c>
      <c r="D4" s="49" t="s">
        <v>223</v>
      </c>
      <c r="E4" s="49" t="s">
        <v>273</v>
      </c>
      <c r="F4" s="49">
        <v>222</v>
      </c>
      <c r="L4" s="50">
        <v>0</v>
      </c>
      <c r="M4" s="51"/>
      <c r="N4" s="51">
        <v>2</v>
      </c>
      <c r="O4" s="49">
        <v>43481</v>
      </c>
    </row>
    <row r="5" spans="1:22" x14ac:dyDescent="0.25">
      <c r="A5" s="49" t="s">
        <v>324</v>
      </c>
      <c r="B5" s="49" t="s">
        <v>124</v>
      </c>
      <c r="C5" s="49" t="s">
        <v>174</v>
      </c>
      <c r="D5" s="49" t="s">
        <v>224</v>
      </c>
      <c r="E5" s="49" t="s">
        <v>274</v>
      </c>
      <c r="F5" s="49">
        <v>333</v>
      </c>
      <c r="L5" s="50">
        <v>0</v>
      </c>
      <c r="M5" s="51"/>
      <c r="N5" s="51">
        <v>2</v>
      </c>
      <c r="O5" s="49">
        <v>42947</v>
      </c>
    </row>
    <row r="6" spans="1:22" x14ac:dyDescent="0.25">
      <c r="A6" s="49" t="s">
        <v>325</v>
      </c>
      <c r="B6" s="49" t="s">
        <v>125</v>
      </c>
      <c r="C6" s="49" t="s">
        <v>175</v>
      </c>
      <c r="D6" s="49" t="s">
        <v>225</v>
      </c>
      <c r="E6" s="49" t="s">
        <v>275</v>
      </c>
      <c r="F6" s="49">
        <v>444</v>
      </c>
      <c r="L6" s="50">
        <v>0</v>
      </c>
      <c r="M6" s="51"/>
      <c r="N6" s="51">
        <v>2</v>
      </c>
      <c r="O6" s="49">
        <v>43257</v>
      </c>
    </row>
    <row r="7" spans="1:22" x14ac:dyDescent="0.25">
      <c r="A7" s="49" t="s">
        <v>326</v>
      </c>
      <c r="B7" s="49" t="s">
        <v>126</v>
      </c>
      <c r="C7" s="49" t="s">
        <v>176</v>
      </c>
      <c r="D7" s="49" t="s">
        <v>226</v>
      </c>
      <c r="E7" s="49" t="s">
        <v>276</v>
      </c>
      <c r="F7" s="49">
        <v>555</v>
      </c>
      <c r="L7" s="50">
        <v>0</v>
      </c>
      <c r="M7" s="51"/>
      <c r="N7" s="51">
        <v>2</v>
      </c>
      <c r="O7" s="49">
        <v>43231</v>
      </c>
    </row>
    <row r="8" spans="1:22" x14ac:dyDescent="0.25">
      <c r="A8" s="49" t="s">
        <v>327</v>
      </c>
      <c r="B8" s="49" t="s">
        <v>127</v>
      </c>
      <c r="C8" s="49" t="s">
        <v>177</v>
      </c>
      <c r="D8" s="49" t="s">
        <v>227</v>
      </c>
      <c r="E8" s="49" t="s">
        <v>277</v>
      </c>
      <c r="F8" s="49">
        <v>666</v>
      </c>
      <c r="L8" s="50">
        <v>0</v>
      </c>
      <c r="M8" s="51"/>
      <c r="N8" s="51">
        <v>2</v>
      </c>
      <c r="O8" s="49">
        <v>43200</v>
      </c>
    </row>
    <row r="9" spans="1:22" x14ac:dyDescent="0.25">
      <c r="A9" s="49" t="s">
        <v>328</v>
      </c>
      <c r="B9" s="49" t="s">
        <v>128</v>
      </c>
      <c r="C9" s="49" t="s">
        <v>178</v>
      </c>
      <c r="D9" s="49" t="s">
        <v>228</v>
      </c>
      <c r="E9" s="49" t="s">
        <v>278</v>
      </c>
      <c r="F9" s="49">
        <v>777</v>
      </c>
      <c r="L9" s="50">
        <v>0</v>
      </c>
      <c r="M9" s="51"/>
      <c r="N9" s="51">
        <v>2</v>
      </c>
      <c r="O9" s="49">
        <v>43313</v>
      </c>
    </row>
    <row r="10" spans="1:22" x14ac:dyDescent="0.25">
      <c r="A10" s="49" t="s">
        <v>329</v>
      </c>
      <c r="B10" s="52" t="s">
        <v>129</v>
      </c>
      <c r="C10" s="52" t="s">
        <v>179</v>
      </c>
      <c r="D10" s="52" t="s">
        <v>229</v>
      </c>
      <c r="E10" s="52" t="s">
        <v>279</v>
      </c>
      <c r="F10" s="49">
        <v>888</v>
      </c>
      <c r="H10" s="52"/>
      <c r="I10" s="52"/>
      <c r="J10" s="52"/>
      <c r="K10" s="53"/>
      <c r="L10" s="51">
        <v>0</v>
      </c>
      <c r="M10" s="51"/>
      <c r="N10" s="51">
        <v>2</v>
      </c>
      <c r="O10" s="49">
        <v>43312</v>
      </c>
    </row>
    <row r="11" spans="1:22" x14ac:dyDescent="0.25">
      <c r="A11" s="49" t="s">
        <v>330</v>
      </c>
      <c r="B11" s="52" t="s">
        <v>130</v>
      </c>
      <c r="C11" s="52" t="s">
        <v>180</v>
      </c>
      <c r="D11" s="52" t="s">
        <v>230</v>
      </c>
      <c r="E11" s="52" t="s">
        <v>280</v>
      </c>
      <c r="F11" s="49">
        <v>999</v>
      </c>
      <c r="H11" s="52"/>
      <c r="I11" s="52"/>
      <c r="J11" s="52"/>
      <c r="K11" s="53"/>
      <c r="L11" s="51">
        <v>0</v>
      </c>
      <c r="M11" s="51"/>
      <c r="N11" s="51">
        <v>2</v>
      </c>
      <c r="O11" s="49">
        <v>43158</v>
      </c>
    </row>
    <row r="12" spans="1:22" x14ac:dyDescent="0.25">
      <c r="A12" s="49" t="s">
        <v>331</v>
      </c>
      <c r="B12" s="52" t="s">
        <v>131</v>
      </c>
      <c r="C12" s="52" t="s">
        <v>181</v>
      </c>
      <c r="D12" s="52" t="s">
        <v>231</v>
      </c>
      <c r="E12" s="52" t="s">
        <v>281</v>
      </c>
      <c r="F12" s="49">
        <v>1110</v>
      </c>
      <c r="H12" s="52"/>
      <c r="I12" s="52"/>
      <c r="J12" s="52"/>
      <c r="K12" s="53"/>
      <c r="L12" s="51">
        <v>0</v>
      </c>
      <c r="M12" s="51"/>
      <c r="N12" s="51">
        <v>2</v>
      </c>
      <c r="O12" s="49">
        <v>43164</v>
      </c>
    </row>
    <row r="13" spans="1:22" x14ac:dyDescent="0.25">
      <c r="A13" s="49" t="s">
        <v>332</v>
      </c>
      <c r="B13" s="52" t="s">
        <v>132</v>
      </c>
      <c r="C13" s="52" t="s">
        <v>182</v>
      </c>
      <c r="D13" s="52" t="s">
        <v>232</v>
      </c>
      <c r="E13" s="52" t="s">
        <v>282</v>
      </c>
      <c r="F13" s="49">
        <v>1221</v>
      </c>
      <c r="H13" s="52"/>
      <c r="I13" s="52"/>
      <c r="J13" s="52"/>
      <c r="K13" s="53"/>
      <c r="L13" s="51">
        <v>0</v>
      </c>
      <c r="M13" s="51"/>
      <c r="N13" s="51">
        <v>2</v>
      </c>
      <c r="O13" s="49">
        <v>43511</v>
      </c>
    </row>
    <row r="14" spans="1:22" x14ac:dyDescent="0.25">
      <c r="A14" s="49" t="s">
        <v>333</v>
      </c>
      <c r="B14" s="52" t="s">
        <v>133</v>
      </c>
      <c r="C14" s="52" t="s">
        <v>183</v>
      </c>
      <c r="D14" s="52" t="s">
        <v>233</v>
      </c>
      <c r="E14" s="52" t="s">
        <v>283</v>
      </c>
      <c r="F14" s="49">
        <v>1332</v>
      </c>
      <c r="H14" s="52"/>
      <c r="I14" s="52"/>
      <c r="J14" s="52"/>
      <c r="K14" s="53"/>
      <c r="L14" s="51">
        <v>0</v>
      </c>
      <c r="M14" s="51"/>
      <c r="N14" s="51">
        <v>2</v>
      </c>
      <c r="O14" s="49">
        <v>43206</v>
      </c>
    </row>
    <row r="15" spans="1:22" x14ac:dyDescent="0.25">
      <c r="A15" s="49" t="s">
        <v>334</v>
      </c>
      <c r="B15" s="52" t="s">
        <v>134</v>
      </c>
      <c r="C15" s="52" t="s">
        <v>184</v>
      </c>
      <c r="D15" s="52" t="s">
        <v>234</v>
      </c>
      <c r="E15" s="52" t="s">
        <v>284</v>
      </c>
      <c r="F15" s="49">
        <v>1443</v>
      </c>
      <c r="G15" s="49" t="s">
        <v>46</v>
      </c>
      <c r="H15" s="52"/>
      <c r="I15" s="52" t="s">
        <v>45</v>
      </c>
      <c r="J15" s="52" t="s">
        <v>20</v>
      </c>
      <c r="K15" s="53"/>
      <c r="L15" s="51">
        <v>0</v>
      </c>
      <c r="M15" s="51" t="s">
        <v>38</v>
      </c>
      <c r="N15" s="51">
        <v>43304</v>
      </c>
      <c r="O15" s="49">
        <v>43257</v>
      </c>
      <c r="P15" s="49" t="s">
        <v>37</v>
      </c>
      <c r="Q15" s="49" t="s">
        <v>47</v>
      </c>
    </row>
    <row r="16" spans="1:22" x14ac:dyDescent="0.25">
      <c r="A16" s="49" t="s">
        <v>335</v>
      </c>
      <c r="B16" s="52" t="s">
        <v>135</v>
      </c>
      <c r="C16" s="52" t="s">
        <v>185</v>
      </c>
      <c r="D16" s="52" t="s">
        <v>235</v>
      </c>
      <c r="E16" s="52" t="s">
        <v>285</v>
      </c>
      <c r="F16" s="49">
        <v>1554</v>
      </c>
      <c r="H16" s="52"/>
      <c r="I16" s="52"/>
      <c r="J16" s="52"/>
      <c r="K16" s="53"/>
      <c r="L16" s="51">
        <v>0</v>
      </c>
      <c r="M16" s="51"/>
      <c r="N16" s="51">
        <v>2</v>
      </c>
      <c r="O16" s="49">
        <v>43411</v>
      </c>
    </row>
    <row r="17" spans="1:15" x14ac:dyDescent="0.25">
      <c r="A17" s="49" t="s">
        <v>336</v>
      </c>
      <c r="B17" s="52" t="s">
        <v>136</v>
      </c>
      <c r="C17" s="52" t="s">
        <v>186</v>
      </c>
      <c r="D17" s="52" t="s">
        <v>236</v>
      </c>
      <c r="E17" s="52" t="s">
        <v>286</v>
      </c>
      <c r="F17" s="49">
        <v>1665</v>
      </c>
      <c r="H17" s="52"/>
      <c r="I17" s="52"/>
      <c r="J17" s="52"/>
      <c r="K17" s="53"/>
      <c r="L17" s="51">
        <v>0</v>
      </c>
      <c r="M17" s="51"/>
      <c r="N17" s="51">
        <v>2</v>
      </c>
      <c r="O17" s="49">
        <v>43165</v>
      </c>
    </row>
    <row r="18" spans="1:15" x14ac:dyDescent="0.25">
      <c r="A18" s="49" t="s">
        <v>337</v>
      </c>
      <c r="B18" s="52" t="s">
        <v>137</v>
      </c>
      <c r="C18" s="52" t="s">
        <v>187</v>
      </c>
      <c r="D18" s="52" t="s">
        <v>237</v>
      </c>
      <c r="E18" s="52" t="s">
        <v>287</v>
      </c>
      <c r="F18" s="49">
        <v>1776</v>
      </c>
      <c r="H18" s="52"/>
      <c r="I18" s="52"/>
      <c r="J18" s="52"/>
      <c r="K18" s="53"/>
      <c r="L18" s="51">
        <v>0</v>
      </c>
      <c r="M18" s="51"/>
      <c r="N18" s="51">
        <v>2</v>
      </c>
      <c r="O18" s="49">
        <v>43360</v>
      </c>
    </row>
    <row r="19" spans="1:15" x14ac:dyDescent="0.25">
      <c r="A19" s="49" t="s">
        <v>338</v>
      </c>
      <c r="B19" s="52" t="s">
        <v>138</v>
      </c>
      <c r="C19" s="52" t="s">
        <v>188</v>
      </c>
      <c r="D19" s="52" t="s">
        <v>238</v>
      </c>
      <c r="E19" s="52" t="s">
        <v>288</v>
      </c>
      <c r="F19" s="49">
        <v>1887</v>
      </c>
      <c r="H19" s="52"/>
      <c r="I19" s="52"/>
      <c r="J19" s="52"/>
      <c r="K19" s="53"/>
      <c r="L19" s="51">
        <v>0</v>
      </c>
      <c r="M19" s="51"/>
      <c r="N19" s="51">
        <v>2</v>
      </c>
      <c r="O19" s="49">
        <v>43476</v>
      </c>
    </row>
    <row r="20" spans="1:15" x14ac:dyDescent="0.25">
      <c r="A20" s="49" t="s">
        <v>339</v>
      </c>
      <c r="B20" s="52" t="s">
        <v>139</v>
      </c>
      <c r="C20" s="52" t="s">
        <v>189</v>
      </c>
      <c r="D20" s="52" t="s">
        <v>239</v>
      </c>
      <c r="E20" s="52" t="s">
        <v>289</v>
      </c>
      <c r="F20" s="49">
        <v>1998</v>
      </c>
      <c r="H20" s="52"/>
      <c r="I20" s="52"/>
      <c r="J20" s="52"/>
      <c r="K20" s="53"/>
      <c r="L20" s="51">
        <v>0</v>
      </c>
      <c r="M20" s="51"/>
      <c r="N20" s="51">
        <v>2</v>
      </c>
      <c r="O20" s="49">
        <v>43411</v>
      </c>
    </row>
    <row r="21" spans="1:15" x14ac:dyDescent="0.25">
      <c r="A21" s="49" t="s">
        <v>340</v>
      </c>
      <c r="B21" s="52" t="s">
        <v>140</v>
      </c>
      <c r="C21" s="52" t="s">
        <v>190</v>
      </c>
      <c r="D21" s="52" t="s">
        <v>240</v>
      </c>
      <c r="E21" s="52" t="s">
        <v>290</v>
      </c>
      <c r="F21" s="49">
        <v>2109</v>
      </c>
      <c r="H21" s="52"/>
      <c r="I21" s="52"/>
      <c r="J21" s="52"/>
      <c r="K21" s="53"/>
      <c r="L21" s="51">
        <v>0</v>
      </c>
      <c r="M21" s="51"/>
      <c r="N21" s="51">
        <v>2</v>
      </c>
      <c r="O21" s="49">
        <v>43232</v>
      </c>
    </row>
    <row r="22" spans="1:15" x14ac:dyDescent="0.25">
      <c r="A22" s="49" t="s">
        <v>341</v>
      </c>
      <c r="B22" s="52" t="s">
        <v>141</v>
      </c>
      <c r="C22" s="52" t="s">
        <v>191</v>
      </c>
      <c r="D22" s="52" t="s">
        <v>241</v>
      </c>
      <c r="E22" s="52" t="s">
        <v>291</v>
      </c>
      <c r="F22" s="49">
        <v>2220</v>
      </c>
      <c r="H22" s="52"/>
      <c r="I22" s="52"/>
      <c r="J22" s="52"/>
      <c r="K22" s="53"/>
      <c r="L22" s="51">
        <v>0</v>
      </c>
      <c r="M22" s="51"/>
      <c r="N22" s="51">
        <v>2</v>
      </c>
      <c r="O22" s="49">
        <v>43172</v>
      </c>
    </row>
    <row r="23" spans="1:15" x14ac:dyDescent="0.25">
      <c r="A23" s="49" t="s">
        <v>342</v>
      </c>
      <c r="B23" s="52" t="s">
        <v>142</v>
      </c>
      <c r="C23" s="52" t="s">
        <v>192</v>
      </c>
      <c r="D23" s="52" t="s">
        <v>242</v>
      </c>
      <c r="E23" s="52" t="s">
        <v>292</v>
      </c>
      <c r="F23" s="49">
        <v>2331</v>
      </c>
      <c r="H23" s="52"/>
      <c r="I23" s="52"/>
      <c r="J23" s="52"/>
      <c r="K23" s="53"/>
      <c r="L23" s="51">
        <v>0</v>
      </c>
      <c r="M23" s="51"/>
      <c r="N23" s="51">
        <v>2</v>
      </c>
      <c r="O23" s="49">
        <v>43132</v>
      </c>
    </row>
    <row r="24" spans="1:15" x14ac:dyDescent="0.25">
      <c r="A24" s="49" t="s">
        <v>343</v>
      </c>
      <c r="B24" s="52" t="s">
        <v>143</v>
      </c>
      <c r="C24" s="52" t="s">
        <v>193</v>
      </c>
      <c r="D24" s="52" t="s">
        <v>243</v>
      </c>
      <c r="E24" s="52" t="s">
        <v>293</v>
      </c>
      <c r="F24" s="49">
        <v>2442</v>
      </c>
      <c r="H24" s="52"/>
      <c r="I24" s="52"/>
      <c r="J24" s="52"/>
      <c r="K24" s="53"/>
      <c r="L24" s="51">
        <v>0</v>
      </c>
      <c r="M24" s="51"/>
      <c r="N24" s="51">
        <v>2</v>
      </c>
      <c r="O24" s="49">
        <v>43215</v>
      </c>
    </row>
    <row r="25" spans="1:15" x14ac:dyDescent="0.25">
      <c r="A25" s="49" t="s">
        <v>344</v>
      </c>
      <c r="B25" s="52" t="s">
        <v>144</v>
      </c>
      <c r="C25" s="52" t="s">
        <v>194</v>
      </c>
      <c r="D25" s="52" t="s">
        <v>244</v>
      </c>
      <c r="E25" s="52" t="s">
        <v>294</v>
      </c>
      <c r="F25" s="52">
        <v>2553</v>
      </c>
      <c r="G25" s="52"/>
      <c r="H25" s="52"/>
      <c r="I25" s="52"/>
      <c r="J25" s="52"/>
      <c r="K25" s="53"/>
      <c r="L25" s="51">
        <v>0</v>
      </c>
      <c r="M25" s="51"/>
      <c r="N25" s="51">
        <v>2</v>
      </c>
      <c r="O25" s="49">
        <v>42859</v>
      </c>
    </row>
    <row r="26" spans="1:15" x14ac:dyDescent="0.25">
      <c r="A26" s="49" t="s">
        <v>345</v>
      </c>
      <c r="B26" s="52" t="s">
        <v>145</v>
      </c>
      <c r="C26" s="52" t="s">
        <v>195</v>
      </c>
      <c r="D26" s="52" t="s">
        <v>245</v>
      </c>
      <c r="E26" s="52" t="s">
        <v>295</v>
      </c>
      <c r="F26" s="52">
        <v>2664</v>
      </c>
      <c r="G26" s="52"/>
      <c r="H26" s="52"/>
      <c r="I26" s="52"/>
      <c r="J26" s="52"/>
      <c r="K26" s="53"/>
      <c r="L26" s="51">
        <v>0</v>
      </c>
      <c r="M26" s="51"/>
      <c r="N26" s="51">
        <v>2</v>
      </c>
      <c r="O26" s="49">
        <v>43132</v>
      </c>
    </row>
    <row r="27" spans="1:15" x14ac:dyDescent="0.25">
      <c r="A27" s="49" t="s">
        <v>346</v>
      </c>
      <c r="B27" s="52" t="s">
        <v>146</v>
      </c>
      <c r="C27" s="52" t="s">
        <v>196</v>
      </c>
      <c r="D27" s="52" t="s">
        <v>246</v>
      </c>
      <c r="E27" s="52" t="s">
        <v>296</v>
      </c>
      <c r="F27" s="52">
        <v>2775</v>
      </c>
      <c r="G27" s="52"/>
      <c r="H27" s="52"/>
      <c r="I27" s="52"/>
      <c r="J27" s="52"/>
      <c r="K27" s="53"/>
      <c r="L27" s="51">
        <v>0</v>
      </c>
      <c r="M27" s="51"/>
      <c r="N27" s="51">
        <v>2</v>
      </c>
      <c r="O27" s="49">
        <v>43220</v>
      </c>
    </row>
    <row r="28" spans="1:15" x14ac:dyDescent="0.25">
      <c r="A28" s="49" t="s">
        <v>347</v>
      </c>
      <c r="B28" s="52" t="s">
        <v>147</v>
      </c>
      <c r="C28" s="52" t="s">
        <v>197</v>
      </c>
      <c r="D28" s="52" t="s">
        <v>247</v>
      </c>
      <c r="E28" s="52" t="s">
        <v>297</v>
      </c>
      <c r="F28" s="52">
        <v>2886</v>
      </c>
      <c r="G28" s="52"/>
      <c r="H28" s="52"/>
      <c r="I28" s="52"/>
      <c r="J28" s="52"/>
      <c r="K28" s="53"/>
      <c r="L28" s="51">
        <v>0</v>
      </c>
      <c r="M28" s="51"/>
      <c r="N28" s="51">
        <v>2</v>
      </c>
      <c r="O28" s="49">
        <v>43230</v>
      </c>
    </row>
    <row r="29" spans="1:15" x14ac:dyDescent="0.25">
      <c r="A29" s="49" t="s">
        <v>348</v>
      </c>
      <c r="B29" s="52" t="s">
        <v>148</v>
      </c>
      <c r="C29" s="52" t="s">
        <v>198</v>
      </c>
      <c r="D29" s="52" t="s">
        <v>248</v>
      </c>
      <c r="E29" s="52" t="s">
        <v>298</v>
      </c>
      <c r="F29" s="52">
        <v>2997</v>
      </c>
      <c r="G29" s="52"/>
      <c r="H29" s="52"/>
      <c r="I29" s="52"/>
      <c r="J29" s="52"/>
      <c r="K29" s="53"/>
      <c r="L29" s="51">
        <v>0</v>
      </c>
      <c r="M29" s="51"/>
      <c r="N29" s="51">
        <v>2</v>
      </c>
      <c r="O29" s="49">
        <v>43327</v>
      </c>
    </row>
    <row r="30" spans="1:15" x14ac:dyDescent="0.25">
      <c r="A30" s="49" t="s">
        <v>349</v>
      </c>
      <c r="B30" s="52" t="s">
        <v>149</v>
      </c>
      <c r="C30" s="52" t="s">
        <v>199</v>
      </c>
      <c r="D30" s="52" t="s">
        <v>249</v>
      </c>
      <c r="E30" s="52" t="s">
        <v>299</v>
      </c>
      <c r="F30" s="52">
        <v>3108</v>
      </c>
      <c r="G30" s="52"/>
      <c r="H30" s="52"/>
      <c r="I30" s="52"/>
      <c r="J30" s="52"/>
      <c r="K30" s="53"/>
      <c r="L30" s="51">
        <v>0</v>
      </c>
      <c r="M30" s="51"/>
      <c r="N30" s="51">
        <v>2</v>
      </c>
      <c r="O30" s="49">
        <v>43147</v>
      </c>
    </row>
    <row r="31" spans="1:15" x14ac:dyDescent="0.25">
      <c r="A31" s="49" t="s">
        <v>350</v>
      </c>
      <c r="B31" s="52" t="s">
        <v>150</v>
      </c>
      <c r="C31" s="52" t="s">
        <v>200</v>
      </c>
      <c r="D31" s="52" t="s">
        <v>250</v>
      </c>
      <c r="E31" s="52" t="s">
        <v>300</v>
      </c>
      <c r="F31" s="52">
        <v>3219</v>
      </c>
      <c r="G31" s="52"/>
      <c r="H31" s="52"/>
      <c r="I31" s="52"/>
      <c r="J31" s="52"/>
      <c r="K31" s="53"/>
      <c r="L31" s="51">
        <v>0</v>
      </c>
      <c r="M31" s="51"/>
      <c r="N31" s="51">
        <v>2</v>
      </c>
      <c r="O31" s="49">
        <v>43314</v>
      </c>
    </row>
    <row r="32" spans="1:15" x14ac:dyDescent="0.25">
      <c r="A32" s="49" t="s">
        <v>351</v>
      </c>
      <c r="B32" s="52" t="s">
        <v>151</v>
      </c>
      <c r="C32" s="52" t="s">
        <v>201</v>
      </c>
      <c r="D32" s="52" t="s">
        <v>251</v>
      </c>
      <c r="E32" s="52" t="s">
        <v>301</v>
      </c>
      <c r="F32" s="52">
        <v>3330</v>
      </c>
      <c r="G32" s="52"/>
      <c r="H32" s="52"/>
      <c r="I32" s="52"/>
      <c r="J32" s="52"/>
      <c r="K32" s="53"/>
      <c r="L32" s="51">
        <v>0</v>
      </c>
      <c r="M32" s="51"/>
      <c r="N32" s="51">
        <v>2</v>
      </c>
      <c r="O32" s="49">
        <v>43605</v>
      </c>
    </row>
    <row r="33" spans="1:18" x14ac:dyDescent="0.25">
      <c r="A33" s="49" t="s">
        <v>352</v>
      </c>
      <c r="B33" s="52" t="s">
        <v>152</v>
      </c>
      <c r="C33" s="52" t="s">
        <v>202</v>
      </c>
      <c r="D33" s="52" t="s">
        <v>252</v>
      </c>
      <c r="E33" s="52" t="s">
        <v>302</v>
      </c>
      <c r="F33" s="52">
        <v>3441</v>
      </c>
      <c r="G33" s="52"/>
      <c r="H33" s="52"/>
      <c r="I33" s="52"/>
      <c r="J33" s="52"/>
      <c r="K33" s="53"/>
      <c r="L33" s="51">
        <v>0</v>
      </c>
      <c r="M33" s="51"/>
      <c r="N33" s="51">
        <v>2</v>
      </c>
      <c r="O33" s="49">
        <v>43332</v>
      </c>
    </row>
    <row r="34" spans="1:18" x14ac:dyDescent="0.25">
      <c r="A34" s="49" t="s">
        <v>353</v>
      </c>
      <c r="B34" s="52" t="s">
        <v>153</v>
      </c>
      <c r="C34" s="52" t="s">
        <v>203</v>
      </c>
      <c r="D34" s="52" t="s">
        <v>253</v>
      </c>
      <c r="E34" s="52" t="s">
        <v>303</v>
      </c>
      <c r="F34" s="52">
        <v>3552</v>
      </c>
      <c r="G34" s="52"/>
      <c r="H34" s="52"/>
      <c r="I34" s="52"/>
      <c r="J34" s="52"/>
      <c r="K34" s="53"/>
      <c r="L34" s="51">
        <v>0</v>
      </c>
      <c r="M34" s="51"/>
      <c r="N34" s="51">
        <v>2</v>
      </c>
      <c r="O34" s="49">
        <v>43171</v>
      </c>
    </row>
    <row r="35" spans="1:18" x14ac:dyDescent="0.25">
      <c r="A35" s="49" t="s">
        <v>354</v>
      </c>
      <c r="B35" s="49" t="s">
        <v>154</v>
      </c>
      <c r="C35" s="49" t="s">
        <v>204</v>
      </c>
      <c r="D35" s="49" t="s">
        <v>254</v>
      </c>
      <c r="E35" s="49" t="s">
        <v>304</v>
      </c>
      <c r="F35" s="49">
        <v>3663</v>
      </c>
      <c r="L35" s="50">
        <v>0</v>
      </c>
      <c r="M35" s="51"/>
      <c r="N35" s="50">
        <v>2</v>
      </c>
      <c r="O35" s="49">
        <v>43370</v>
      </c>
    </row>
    <row r="36" spans="1:18" x14ac:dyDescent="0.25">
      <c r="A36" s="49" t="s">
        <v>355</v>
      </c>
      <c r="B36" s="49" t="s">
        <v>155</v>
      </c>
      <c r="C36" s="49" t="s">
        <v>205</v>
      </c>
      <c r="D36" s="49" t="s">
        <v>255</v>
      </c>
      <c r="E36" s="49" t="s">
        <v>305</v>
      </c>
      <c r="F36" s="49">
        <v>3774</v>
      </c>
      <c r="L36" s="50">
        <v>0</v>
      </c>
      <c r="M36" s="51"/>
      <c r="N36" s="50">
        <v>2</v>
      </c>
      <c r="O36" s="49">
        <v>43107</v>
      </c>
    </row>
    <row r="37" spans="1:18" x14ac:dyDescent="0.25">
      <c r="A37" s="49" t="s">
        <v>356</v>
      </c>
      <c r="B37" s="49" t="s">
        <v>156</v>
      </c>
      <c r="C37" s="49" t="s">
        <v>206</v>
      </c>
      <c r="D37" s="49" t="s">
        <v>256</v>
      </c>
      <c r="E37" s="49" t="s">
        <v>306</v>
      </c>
      <c r="F37" s="49">
        <v>3885</v>
      </c>
      <c r="L37" s="50">
        <v>0</v>
      </c>
      <c r="M37" s="51"/>
      <c r="N37" s="50">
        <v>2</v>
      </c>
      <c r="O37" s="49">
        <v>43462</v>
      </c>
    </row>
    <row r="38" spans="1:18" x14ac:dyDescent="0.25">
      <c r="A38" s="49" t="s">
        <v>357</v>
      </c>
      <c r="B38" s="49" t="s">
        <v>157</v>
      </c>
      <c r="C38" s="49" t="s">
        <v>207</v>
      </c>
      <c r="D38" s="49" t="s">
        <v>257</v>
      </c>
      <c r="E38" s="49" t="s">
        <v>307</v>
      </c>
      <c r="F38" s="49">
        <v>3996</v>
      </c>
      <c r="G38" s="49" t="s">
        <v>53</v>
      </c>
      <c r="I38" s="49" t="s">
        <v>45</v>
      </c>
      <c r="J38" s="49" t="s">
        <v>20</v>
      </c>
      <c r="K38" s="49" t="s">
        <v>56</v>
      </c>
      <c r="L38" s="50">
        <v>10000</v>
      </c>
      <c r="M38" s="51" t="s">
        <v>39</v>
      </c>
      <c r="N38" s="50">
        <v>43389</v>
      </c>
      <c r="O38" s="49">
        <v>2</v>
      </c>
      <c r="P38" s="49" t="s">
        <v>24</v>
      </c>
      <c r="Q38" s="49" t="s">
        <v>371</v>
      </c>
    </row>
    <row r="39" spans="1:18" x14ac:dyDescent="0.25">
      <c r="A39" s="49" t="s">
        <v>358</v>
      </c>
      <c r="B39" s="49" t="s">
        <v>158</v>
      </c>
      <c r="C39" s="49" t="s">
        <v>208</v>
      </c>
      <c r="D39" s="49" t="s">
        <v>258</v>
      </c>
      <c r="E39" s="49" t="s">
        <v>308</v>
      </c>
      <c r="F39" s="49">
        <v>4107</v>
      </c>
      <c r="L39" s="50">
        <v>0</v>
      </c>
      <c r="M39" s="51"/>
      <c r="N39" s="50">
        <v>2</v>
      </c>
      <c r="O39" s="49">
        <v>43239</v>
      </c>
      <c r="Q39" s="49" t="s">
        <v>371</v>
      </c>
    </row>
    <row r="40" spans="1:18" x14ac:dyDescent="0.25">
      <c r="A40" s="49" t="s">
        <v>359</v>
      </c>
      <c r="B40" s="49" t="s">
        <v>159</v>
      </c>
      <c r="C40" s="49" t="s">
        <v>209</v>
      </c>
      <c r="D40" s="49" t="s">
        <v>259</v>
      </c>
      <c r="E40" s="49" t="s">
        <v>309</v>
      </c>
      <c r="F40" s="49">
        <v>4218</v>
      </c>
      <c r="L40" s="50">
        <v>0</v>
      </c>
      <c r="M40" s="51"/>
      <c r="N40" s="50">
        <v>2</v>
      </c>
      <c r="O40" s="49">
        <v>43138</v>
      </c>
      <c r="Q40" s="49" t="s">
        <v>371</v>
      </c>
    </row>
    <row r="41" spans="1:18" x14ac:dyDescent="0.25">
      <c r="A41" s="49" t="s">
        <v>360</v>
      </c>
      <c r="B41" s="49" t="s">
        <v>160</v>
      </c>
      <c r="C41" s="49" t="s">
        <v>210</v>
      </c>
      <c r="D41" s="49" t="s">
        <v>260</v>
      </c>
      <c r="E41" s="49" t="s">
        <v>310</v>
      </c>
      <c r="F41" s="49">
        <v>4329</v>
      </c>
      <c r="I41" s="49" t="s">
        <v>41</v>
      </c>
      <c r="J41" s="49" t="s">
        <v>21</v>
      </c>
      <c r="K41" s="49" t="s">
        <v>56</v>
      </c>
      <c r="L41" s="50">
        <v>121900</v>
      </c>
      <c r="M41" s="51" t="s">
        <v>39</v>
      </c>
      <c r="N41" s="50">
        <v>43664</v>
      </c>
      <c r="O41" s="49">
        <v>2</v>
      </c>
      <c r="Q41" s="49" t="s">
        <v>371</v>
      </c>
    </row>
    <row r="42" spans="1:18" x14ac:dyDescent="0.25">
      <c r="A42" s="49" t="s">
        <v>361</v>
      </c>
      <c r="B42" s="49" t="s">
        <v>161</v>
      </c>
      <c r="C42" s="49" t="s">
        <v>211</v>
      </c>
      <c r="D42" s="49" t="s">
        <v>261</v>
      </c>
      <c r="E42" s="49" t="s">
        <v>311</v>
      </c>
      <c r="F42" s="49">
        <v>4440</v>
      </c>
      <c r="L42" s="50">
        <v>0</v>
      </c>
      <c r="M42" s="51"/>
      <c r="N42" s="50">
        <v>2</v>
      </c>
      <c r="O42" s="49">
        <v>42948</v>
      </c>
    </row>
    <row r="43" spans="1:18" x14ac:dyDescent="0.25">
      <c r="A43" s="49" t="s">
        <v>362</v>
      </c>
      <c r="B43" s="49" t="s">
        <v>162</v>
      </c>
      <c r="C43" s="49" t="s">
        <v>212</v>
      </c>
      <c r="D43" s="49" t="s">
        <v>262</v>
      </c>
      <c r="E43" s="49" t="s">
        <v>312</v>
      </c>
      <c r="F43" s="49">
        <v>4551</v>
      </c>
      <c r="L43" s="50">
        <v>0</v>
      </c>
      <c r="M43" s="51"/>
      <c r="N43" s="50">
        <v>2</v>
      </c>
      <c r="O43" s="49">
        <v>43571</v>
      </c>
    </row>
    <row r="44" spans="1:18" x14ac:dyDescent="0.25">
      <c r="A44" s="49" t="s">
        <v>363</v>
      </c>
      <c r="B44" s="49" t="s">
        <v>163</v>
      </c>
      <c r="C44" s="49" t="s">
        <v>213</v>
      </c>
      <c r="D44" s="49" t="s">
        <v>263</v>
      </c>
      <c r="E44" s="49" t="s">
        <v>313</v>
      </c>
      <c r="F44" s="49">
        <v>4662</v>
      </c>
      <c r="L44" s="50">
        <v>0</v>
      </c>
      <c r="M44" s="51"/>
      <c r="N44" s="50">
        <v>2</v>
      </c>
      <c r="O44" s="49">
        <v>43405</v>
      </c>
    </row>
    <row r="45" spans="1:18" x14ac:dyDescent="0.25">
      <c r="A45" s="49" t="s">
        <v>364</v>
      </c>
      <c r="B45" s="49" t="s">
        <v>164</v>
      </c>
      <c r="C45" s="49" t="s">
        <v>214</v>
      </c>
      <c r="D45" s="49" t="s">
        <v>264</v>
      </c>
      <c r="E45" s="49" t="s">
        <v>314</v>
      </c>
      <c r="F45" s="49">
        <v>4773</v>
      </c>
      <c r="L45" s="50">
        <v>0</v>
      </c>
      <c r="M45" s="51"/>
      <c r="N45" s="50">
        <v>2</v>
      </c>
      <c r="O45" s="49">
        <v>43533</v>
      </c>
    </row>
    <row r="46" spans="1:18" x14ac:dyDescent="0.25">
      <c r="A46" s="49" t="s">
        <v>365</v>
      </c>
      <c r="B46" s="49" t="s">
        <v>165</v>
      </c>
      <c r="C46" s="49" t="s">
        <v>215</v>
      </c>
      <c r="D46" s="49" t="s">
        <v>265</v>
      </c>
      <c r="E46" s="49" t="s">
        <v>315</v>
      </c>
      <c r="F46" s="49">
        <v>4884</v>
      </c>
      <c r="L46" s="50">
        <v>0</v>
      </c>
      <c r="M46" s="51"/>
      <c r="N46" s="50">
        <v>2</v>
      </c>
      <c r="O46" s="49">
        <v>43139</v>
      </c>
    </row>
    <row r="47" spans="1:18" x14ac:dyDescent="0.25">
      <c r="A47" s="49" t="s">
        <v>366</v>
      </c>
      <c r="B47" s="49" t="s">
        <v>166</v>
      </c>
      <c r="C47" s="49" t="s">
        <v>216</v>
      </c>
      <c r="D47" s="49" t="s">
        <v>266</v>
      </c>
      <c r="E47" s="49" t="s">
        <v>316</v>
      </c>
      <c r="F47" s="49">
        <v>4995</v>
      </c>
      <c r="I47" s="49" t="s">
        <v>42</v>
      </c>
      <c r="J47" s="49" t="s">
        <v>23</v>
      </c>
      <c r="K47" s="49" t="s">
        <v>58</v>
      </c>
      <c r="L47" s="50">
        <v>30000</v>
      </c>
      <c r="M47" s="51" t="s">
        <v>40</v>
      </c>
      <c r="N47" s="50">
        <v>43533</v>
      </c>
      <c r="O47" s="49">
        <v>2</v>
      </c>
      <c r="Q47" s="49" t="s">
        <v>43</v>
      </c>
      <c r="R47" s="49" t="s">
        <v>44</v>
      </c>
    </row>
    <row r="48" spans="1:18" x14ac:dyDescent="0.25">
      <c r="A48" s="49" t="s">
        <v>367</v>
      </c>
      <c r="B48" s="49" t="s">
        <v>167</v>
      </c>
      <c r="C48" s="49" t="s">
        <v>217</v>
      </c>
      <c r="D48" s="49" t="s">
        <v>267</v>
      </c>
      <c r="E48" s="49" t="s">
        <v>317</v>
      </c>
      <c r="F48" s="49">
        <v>5106</v>
      </c>
      <c r="G48" s="49" t="s">
        <v>50</v>
      </c>
      <c r="I48" s="49" t="s">
        <v>51</v>
      </c>
      <c r="J48" s="49" t="s">
        <v>52</v>
      </c>
      <c r="K48" s="49" t="s">
        <v>57</v>
      </c>
      <c r="L48" s="50">
        <v>150</v>
      </c>
      <c r="M48" s="51" t="s">
        <v>39</v>
      </c>
      <c r="N48" s="50">
        <v>43437</v>
      </c>
      <c r="O48" s="49">
        <v>2</v>
      </c>
      <c r="P48" s="49" t="s">
        <v>22</v>
      </c>
    </row>
    <row r="49" spans="1:16" x14ac:dyDescent="0.25">
      <c r="A49" s="49" t="s">
        <v>368</v>
      </c>
      <c r="B49" s="49" t="s">
        <v>168</v>
      </c>
      <c r="C49" s="49" t="s">
        <v>218</v>
      </c>
      <c r="D49" s="49" t="s">
        <v>268</v>
      </c>
      <c r="E49" s="49" t="s">
        <v>318</v>
      </c>
      <c r="F49" s="49">
        <v>5217</v>
      </c>
      <c r="L49" s="50">
        <v>0</v>
      </c>
      <c r="M49" s="51"/>
      <c r="N49" s="51">
        <v>2</v>
      </c>
      <c r="O49" s="49">
        <v>43368</v>
      </c>
    </row>
    <row r="50" spans="1:16" x14ac:dyDescent="0.25">
      <c r="A50" s="49" t="s">
        <v>369</v>
      </c>
      <c r="B50" s="49" t="s">
        <v>169</v>
      </c>
      <c r="C50" s="49" t="s">
        <v>219</v>
      </c>
      <c r="D50" s="49" t="s">
        <v>269</v>
      </c>
      <c r="E50" s="49" t="s">
        <v>319</v>
      </c>
      <c r="F50" s="49">
        <v>5328</v>
      </c>
      <c r="J50" s="49" t="s">
        <v>21</v>
      </c>
      <c r="L50" s="50">
        <v>0</v>
      </c>
      <c r="M50" s="51" t="s">
        <v>39</v>
      </c>
      <c r="N50" s="51">
        <v>43636</v>
      </c>
      <c r="O50" s="49">
        <v>2</v>
      </c>
      <c r="P50" s="49" t="s">
        <v>22</v>
      </c>
    </row>
    <row r="51" spans="1:16" x14ac:dyDescent="0.25">
      <c r="A51" s="49" t="s">
        <v>370</v>
      </c>
      <c r="B51" s="49" t="s">
        <v>170</v>
      </c>
      <c r="C51" s="49" t="s">
        <v>220</v>
      </c>
      <c r="D51" s="49" t="s">
        <v>270</v>
      </c>
      <c r="E51" s="49" t="s">
        <v>320</v>
      </c>
      <c r="F51" s="49">
        <v>5439</v>
      </c>
      <c r="L51" s="50">
        <v>0</v>
      </c>
      <c r="M51" s="51"/>
      <c r="N51" s="51">
        <v>2</v>
      </c>
      <c r="O51" s="49">
        <v>43600</v>
      </c>
    </row>
    <row r="52" spans="1:16" x14ac:dyDescent="0.25">
      <c r="M52" s="51"/>
      <c r="N52" s="51"/>
    </row>
    <row r="53" spans="1:16" x14ac:dyDescent="0.25">
      <c r="M53" s="51"/>
      <c r="N53" s="51"/>
    </row>
    <row r="54" spans="1:16" x14ac:dyDescent="0.25">
      <c r="M54" s="51"/>
      <c r="N54" s="51"/>
    </row>
    <row r="55" spans="1:16" x14ac:dyDescent="0.25">
      <c r="M55" s="51"/>
      <c r="N55" s="51"/>
    </row>
    <row r="56" spans="1:16" x14ac:dyDescent="0.25">
      <c r="M56" s="51"/>
      <c r="N56" s="51"/>
    </row>
    <row r="57" spans="1:16" x14ac:dyDescent="0.25">
      <c r="M57" s="51"/>
      <c r="N57" s="51"/>
    </row>
    <row r="58" spans="1:16" x14ac:dyDescent="0.25">
      <c r="M58" s="51"/>
      <c r="N58" s="51"/>
    </row>
    <row r="59" spans="1:16" x14ac:dyDescent="0.25">
      <c r="M59" s="51"/>
      <c r="N59" s="51"/>
    </row>
    <row r="60" spans="1:16" x14ac:dyDescent="0.25">
      <c r="M60" s="51"/>
      <c r="N60" s="51"/>
    </row>
    <row r="61" spans="1:16" x14ac:dyDescent="0.25">
      <c r="M61" s="51"/>
      <c r="N61" s="51"/>
    </row>
    <row r="62" spans="1:16" x14ac:dyDescent="0.25">
      <c r="M62" s="51"/>
      <c r="N62" s="51"/>
    </row>
    <row r="63" spans="1:16" x14ac:dyDescent="0.25">
      <c r="M63" s="51"/>
      <c r="N63" s="51"/>
    </row>
    <row r="64" spans="1:16" x14ac:dyDescent="0.25">
      <c r="M64" s="51"/>
      <c r="N64" s="51"/>
    </row>
    <row r="65" spans="13:14" x14ac:dyDescent="0.25">
      <c r="M65" s="51"/>
      <c r="N65" s="51"/>
    </row>
    <row r="66" spans="13:14" x14ac:dyDescent="0.25">
      <c r="M66" s="51"/>
      <c r="N66" s="51"/>
    </row>
    <row r="67" spans="13:14" x14ac:dyDescent="0.25">
      <c r="M67" s="51"/>
      <c r="N67" s="51"/>
    </row>
    <row r="68" spans="13:14" x14ac:dyDescent="0.25">
      <c r="M68" s="51"/>
      <c r="N68" s="51"/>
    </row>
    <row r="69" spans="13:14" x14ac:dyDescent="0.25">
      <c r="M69" s="51"/>
      <c r="N69" s="51"/>
    </row>
    <row r="70" spans="13:14" x14ac:dyDescent="0.25">
      <c r="M70" s="51"/>
      <c r="N70" s="51"/>
    </row>
    <row r="71" spans="13:14" x14ac:dyDescent="0.25">
      <c r="M71" s="51"/>
      <c r="N71" s="51"/>
    </row>
    <row r="72" spans="13:14" x14ac:dyDescent="0.25">
      <c r="M72" s="51"/>
      <c r="N72" s="51"/>
    </row>
    <row r="73" spans="13:14" x14ac:dyDescent="0.25">
      <c r="M73" s="51"/>
      <c r="N73" s="51"/>
    </row>
    <row r="74" spans="13:14" x14ac:dyDescent="0.25">
      <c r="M74" s="51"/>
      <c r="N74" s="51"/>
    </row>
    <row r="75" spans="13:14" x14ac:dyDescent="0.25">
      <c r="M75" s="51"/>
      <c r="N75" s="51"/>
    </row>
    <row r="76" spans="13:14" x14ac:dyDescent="0.25">
      <c r="M76" s="51"/>
      <c r="N76" s="51"/>
    </row>
    <row r="77" spans="13:14" x14ac:dyDescent="0.25">
      <c r="M77" s="51"/>
      <c r="N77" s="51"/>
    </row>
    <row r="78" spans="13:14" x14ac:dyDescent="0.25">
      <c r="M78" s="51"/>
      <c r="N78" s="51"/>
    </row>
    <row r="79" spans="13:14" x14ac:dyDescent="0.25">
      <c r="M79" s="51"/>
      <c r="N79" s="51"/>
    </row>
    <row r="80" spans="13:14" x14ac:dyDescent="0.25">
      <c r="M80" s="51"/>
      <c r="N80" s="51"/>
    </row>
    <row r="81" spans="13:14" x14ac:dyDescent="0.25">
      <c r="M81" s="51"/>
      <c r="N81" s="51"/>
    </row>
    <row r="82" spans="13:14" x14ac:dyDescent="0.25">
      <c r="M82" s="51"/>
      <c r="N82" s="51"/>
    </row>
    <row r="83" spans="13:14" x14ac:dyDescent="0.25">
      <c r="M83" s="51"/>
      <c r="N83" s="51"/>
    </row>
    <row r="84" spans="13:14" x14ac:dyDescent="0.25">
      <c r="M84" s="51"/>
      <c r="N84" s="51"/>
    </row>
    <row r="85" spans="13:14" x14ac:dyDescent="0.25">
      <c r="M85" s="51"/>
      <c r="N85" s="51"/>
    </row>
    <row r="86" spans="13:14" x14ac:dyDescent="0.25">
      <c r="M86" s="51"/>
      <c r="N86" s="51"/>
    </row>
    <row r="87" spans="13:14" x14ac:dyDescent="0.25">
      <c r="M87" s="51"/>
      <c r="N87" s="51"/>
    </row>
    <row r="88" spans="13:14" x14ac:dyDescent="0.25">
      <c r="M88" s="51"/>
      <c r="N88" s="51"/>
    </row>
    <row r="89" spans="13:14" x14ac:dyDescent="0.25">
      <c r="M89" s="51"/>
      <c r="N89" s="51"/>
    </row>
    <row r="90" spans="13:14" x14ac:dyDescent="0.25">
      <c r="M90" s="51"/>
      <c r="N90" s="51"/>
    </row>
    <row r="91" spans="13:14" x14ac:dyDescent="0.25">
      <c r="M91" s="51"/>
      <c r="N91" s="51"/>
    </row>
    <row r="92" spans="13:14" x14ac:dyDescent="0.25">
      <c r="M92" s="51"/>
      <c r="N92" s="51"/>
    </row>
    <row r="93" spans="13:14" x14ac:dyDescent="0.25">
      <c r="M93" s="51"/>
      <c r="N93" s="51"/>
    </row>
    <row r="94" spans="13:14" x14ac:dyDescent="0.25">
      <c r="M94" s="51"/>
      <c r="N94" s="51"/>
    </row>
    <row r="95" spans="13:14" x14ac:dyDescent="0.25">
      <c r="M95" s="51"/>
      <c r="N95" s="51"/>
    </row>
    <row r="96" spans="13:14" x14ac:dyDescent="0.25">
      <c r="M96" s="51"/>
      <c r="N96" s="51"/>
    </row>
    <row r="97" spans="13:14" x14ac:dyDescent="0.25">
      <c r="M97" s="51"/>
      <c r="N97" s="51"/>
    </row>
    <row r="98" spans="13:14" x14ac:dyDescent="0.25">
      <c r="M98" s="51"/>
      <c r="N98" s="51"/>
    </row>
    <row r="99" spans="13:14" x14ac:dyDescent="0.25">
      <c r="M99" s="51"/>
      <c r="N99" s="51"/>
    </row>
    <row r="100" spans="13:14" x14ac:dyDescent="0.25">
      <c r="M100" s="51"/>
      <c r="N100" s="51"/>
    </row>
    <row r="101" spans="13:14" x14ac:dyDescent="0.25">
      <c r="M101" s="51"/>
      <c r="N101" s="51"/>
    </row>
    <row r="102" spans="13:14" x14ac:dyDescent="0.25">
      <c r="M102" s="51"/>
      <c r="N102" s="51"/>
    </row>
    <row r="103" spans="13:14" x14ac:dyDescent="0.25">
      <c r="M103" s="51"/>
      <c r="N103" s="51"/>
    </row>
    <row r="104" spans="13:14" x14ac:dyDescent="0.25">
      <c r="M104" s="51"/>
      <c r="N104" s="51"/>
    </row>
    <row r="105" spans="13:14" x14ac:dyDescent="0.25">
      <c r="M105" s="51"/>
      <c r="N105" s="51"/>
    </row>
    <row r="106" spans="13:14" x14ac:dyDescent="0.25">
      <c r="M106" s="51"/>
      <c r="N106" s="51"/>
    </row>
    <row r="107" spans="13:14" x14ac:dyDescent="0.25">
      <c r="M107" s="51"/>
      <c r="N107" s="51"/>
    </row>
    <row r="108" spans="13:14" x14ac:dyDescent="0.25">
      <c r="M108" s="51"/>
      <c r="N108" s="51"/>
    </row>
    <row r="109" spans="13:14" x14ac:dyDescent="0.25">
      <c r="M109" s="51"/>
      <c r="N109" s="51"/>
    </row>
    <row r="110" spans="13:14" x14ac:dyDescent="0.25">
      <c r="M110" s="51"/>
      <c r="N110" s="51"/>
    </row>
    <row r="111" spans="13:14" x14ac:dyDescent="0.25">
      <c r="M111" s="51"/>
      <c r="N111" s="51"/>
    </row>
    <row r="112" spans="13:14" x14ac:dyDescent="0.25">
      <c r="M112" s="51"/>
      <c r="N112" s="51"/>
    </row>
    <row r="113" spans="13:14" x14ac:dyDescent="0.25">
      <c r="M113" s="51"/>
      <c r="N113" s="51"/>
    </row>
    <row r="114" spans="13:14" x14ac:dyDescent="0.25">
      <c r="M114" s="51"/>
      <c r="N114" s="51"/>
    </row>
    <row r="115" spans="13:14" x14ac:dyDescent="0.25">
      <c r="M115" s="51"/>
      <c r="N115" s="51"/>
    </row>
    <row r="116" spans="13:14" x14ac:dyDescent="0.25">
      <c r="M116" s="51"/>
      <c r="N116" s="51"/>
    </row>
    <row r="117" spans="13:14" x14ac:dyDescent="0.25">
      <c r="M117" s="51"/>
      <c r="N117" s="51"/>
    </row>
    <row r="118" spans="13:14" x14ac:dyDescent="0.25">
      <c r="M118" s="51"/>
      <c r="N118" s="51"/>
    </row>
    <row r="119" spans="13:14" x14ac:dyDescent="0.25">
      <c r="M119" s="51"/>
      <c r="N119" s="51"/>
    </row>
    <row r="120" spans="13:14" x14ac:dyDescent="0.25">
      <c r="M120" s="51"/>
      <c r="N120" s="51"/>
    </row>
    <row r="121" spans="13:14" x14ac:dyDescent="0.25">
      <c r="M121" s="51"/>
      <c r="N121" s="51"/>
    </row>
    <row r="122" spans="13:14" x14ac:dyDescent="0.25">
      <c r="M122" s="51"/>
      <c r="N122" s="51"/>
    </row>
    <row r="123" spans="13:14" x14ac:dyDescent="0.25">
      <c r="M123" s="51"/>
      <c r="N123" s="51"/>
    </row>
    <row r="124" spans="13:14" x14ac:dyDescent="0.25">
      <c r="M124" s="51"/>
      <c r="N124" s="51"/>
    </row>
    <row r="125" spans="13:14" x14ac:dyDescent="0.25">
      <c r="M125" s="51"/>
      <c r="N125" s="51"/>
    </row>
    <row r="126" spans="13:14" x14ac:dyDescent="0.25">
      <c r="M126" s="51"/>
      <c r="N126" s="51"/>
    </row>
    <row r="127" spans="13:14" x14ac:dyDescent="0.25">
      <c r="M127" s="51"/>
      <c r="N127" s="51"/>
    </row>
    <row r="128" spans="13:14" x14ac:dyDescent="0.25">
      <c r="M128" s="51"/>
      <c r="N128" s="51"/>
    </row>
    <row r="129" spans="13:14" x14ac:dyDescent="0.25">
      <c r="M129" s="51"/>
      <c r="N129" s="51"/>
    </row>
    <row r="130" spans="13:14" x14ac:dyDescent="0.25">
      <c r="M130" s="51"/>
      <c r="N130" s="51"/>
    </row>
    <row r="131" spans="13:14" x14ac:dyDescent="0.25">
      <c r="M131" s="51"/>
      <c r="N131" s="51"/>
    </row>
    <row r="132" spans="13:14" x14ac:dyDescent="0.25">
      <c r="M132" s="51"/>
      <c r="N132" s="51"/>
    </row>
    <row r="133" spans="13:14" x14ac:dyDescent="0.25">
      <c r="M133" s="51"/>
      <c r="N133" s="51"/>
    </row>
    <row r="134" spans="13:14" x14ac:dyDescent="0.25">
      <c r="M134" s="51"/>
      <c r="N134" s="51"/>
    </row>
    <row r="135" spans="13:14" x14ac:dyDescent="0.25">
      <c r="M135" s="51"/>
      <c r="N135" s="51"/>
    </row>
    <row r="136" spans="13:14" x14ac:dyDescent="0.25">
      <c r="M136" s="51"/>
      <c r="N136" s="51"/>
    </row>
    <row r="137" spans="13:14" x14ac:dyDescent="0.25">
      <c r="M137" s="51"/>
      <c r="N137" s="51"/>
    </row>
    <row r="138" spans="13:14" x14ac:dyDescent="0.25">
      <c r="M138" s="51"/>
      <c r="N138" s="51"/>
    </row>
    <row r="139" spans="13:14" x14ac:dyDescent="0.25">
      <c r="M139" s="51"/>
      <c r="N139" s="51"/>
    </row>
    <row r="140" spans="13:14" x14ac:dyDescent="0.25">
      <c r="M140" s="51"/>
      <c r="N140" s="51"/>
    </row>
    <row r="141" spans="13:14" x14ac:dyDescent="0.25">
      <c r="M141" s="51"/>
      <c r="N141" s="51"/>
    </row>
    <row r="142" spans="13:14" x14ac:dyDescent="0.25">
      <c r="M142" s="51"/>
      <c r="N142" s="51"/>
    </row>
    <row r="143" spans="13:14" x14ac:dyDescent="0.25">
      <c r="M143" s="51"/>
      <c r="N143" s="51"/>
    </row>
    <row r="144" spans="13:14" x14ac:dyDescent="0.25">
      <c r="M144" s="51"/>
      <c r="N144" s="51"/>
    </row>
    <row r="145" spans="13:14" x14ac:dyDescent="0.25">
      <c r="M145" s="51"/>
      <c r="N145" s="51"/>
    </row>
    <row r="146" spans="13:14" x14ac:dyDescent="0.25">
      <c r="M146" s="51"/>
      <c r="N146" s="51"/>
    </row>
    <row r="147" spans="13:14" x14ac:dyDescent="0.25">
      <c r="M147" s="51"/>
      <c r="N147" s="51"/>
    </row>
    <row r="148" spans="13:14" x14ac:dyDescent="0.25">
      <c r="M148" s="51"/>
      <c r="N148" s="51"/>
    </row>
    <row r="149" spans="13:14" x14ac:dyDescent="0.25">
      <c r="M149" s="51"/>
      <c r="N149" s="51"/>
    </row>
    <row r="150" spans="13:14" x14ac:dyDescent="0.25">
      <c r="M150" s="51"/>
      <c r="N150" s="51"/>
    </row>
    <row r="151" spans="13:14" x14ac:dyDescent="0.25">
      <c r="M151" s="51"/>
      <c r="N151" s="51"/>
    </row>
    <row r="152" spans="13:14" x14ac:dyDescent="0.25">
      <c r="M152" s="51"/>
      <c r="N152" s="51"/>
    </row>
    <row r="153" spans="13:14" x14ac:dyDescent="0.25">
      <c r="M153" s="51"/>
      <c r="N153" s="51"/>
    </row>
    <row r="154" spans="13:14" x14ac:dyDescent="0.25">
      <c r="M154" s="51"/>
      <c r="N154" s="51"/>
    </row>
    <row r="155" spans="13:14" x14ac:dyDescent="0.25">
      <c r="M155" s="51"/>
      <c r="N155" s="51"/>
    </row>
    <row r="156" spans="13:14" x14ac:dyDescent="0.25">
      <c r="M156" s="51"/>
      <c r="N156" s="51"/>
    </row>
    <row r="157" spans="13:14" x14ac:dyDescent="0.25">
      <c r="M157" s="51"/>
      <c r="N157" s="51"/>
    </row>
    <row r="158" spans="13:14" x14ac:dyDescent="0.25">
      <c r="M158" s="51"/>
      <c r="N158" s="51"/>
    </row>
    <row r="159" spans="13:14" x14ac:dyDescent="0.25">
      <c r="M159" s="51"/>
      <c r="N159" s="51"/>
    </row>
    <row r="160" spans="13:14" x14ac:dyDescent="0.25">
      <c r="M160" s="51"/>
      <c r="N160" s="51"/>
    </row>
    <row r="161" spans="13:14" x14ac:dyDescent="0.25">
      <c r="M161" s="51"/>
      <c r="N161" s="51"/>
    </row>
    <row r="162" spans="13:14" x14ac:dyDescent="0.25">
      <c r="M162" s="51"/>
      <c r="N162" s="51"/>
    </row>
    <row r="163" spans="13:14" x14ac:dyDescent="0.25">
      <c r="M163" s="51"/>
      <c r="N163" s="51"/>
    </row>
    <row r="164" spans="13:14" x14ac:dyDescent="0.25">
      <c r="M164" s="51"/>
      <c r="N164" s="51"/>
    </row>
    <row r="165" spans="13:14" x14ac:dyDescent="0.25">
      <c r="M165" s="51"/>
      <c r="N165" s="51"/>
    </row>
    <row r="166" spans="13:14" x14ac:dyDescent="0.25">
      <c r="M166" s="51"/>
      <c r="N166" s="51"/>
    </row>
    <row r="167" spans="13:14" x14ac:dyDescent="0.25">
      <c r="M167" s="51"/>
      <c r="N167" s="51"/>
    </row>
    <row r="168" spans="13:14" x14ac:dyDescent="0.25">
      <c r="M168" s="51"/>
      <c r="N168" s="51"/>
    </row>
    <row r="169" spans="13:14" x14ac:dyDescent="0.25">
      <c r="M169" s="51"/>
      <c r="N169" s="51"/>
    </row>
    <row r="170" spans="13:14" x14ac:dyDescent="0.25">
      <c r="M170" s="51"/>
      <c r="N170" s="51"/>
    </row>
    <row r="171" spans="13:14" x14ac:dyDescent="0.25">
      <c r="M171" s="51"/>
      <c r="N171" s="51"/>
    </row>
    <row r="172" spans="13:14" x14ac:dyDescent="0.25">
      <c r="M172" s="51"/>
      <c r="N172" s="51"/>
    </row>
    <row r="173" spans="13:14" x14ac:dyDescent="0.25">
      <c r="M173" s="51"/>
      <c r="N173" s="51"/>
    </row>
    <row r="174" spans="13:14" x14ac:dyDescent="0.25">
      <c r="M174" s="51"/>
      <c r="N174" s="51"/>
    </row>
    <row r="175" spans="13:14" x14ac:dyDescent="0.25">
      <c r="M175" s="51"/>
      <c r="N175" s="51"/>
    </row>
    <row r="176" spans="13:14" x14ac:dyDescent="0.25">
      <c r="M176" s="51"/>
      <c r="N176" s="51"/>
    </row>
    <row r="177" spans="13:14" x14ac:dyDescent="0.25">
      <c r="M177" s="51"/>
      <c r="N177" s="51"/>
    </row>
    <row r="178" spans="13:14" x14ac:dyDescent="0.25">
      <c r="M178" s="51"/>
      <c r="N178" s="51"/>
    </row>
    <row r="179" spans="13:14" x14ac:dyDescent="0.25">
      <c r="M179" s="51"/>
      <c r="N179" s="51"/>
    </row>
    <row r="180" spans="13:14" x14ac:dyDescent="0.25">
      <c r="M180" s="51"/>
      <c r="N180" s="51"/>
    </row>
    <row r="181" spans="13:14" x14ac:dyDescent="0.25">
      <c r="M181" s="51"/>
      <c r="N181" s="51"/>
    </row>
    <row r="182" spans="13:14" x14ac:dyDescent="0.25">
      <c r="M182" s="51"/>
      <c r="N182" s="51"/>
    </row>
    <row r="183" spans="13:14" x14ac:dyDescent="0.25">
      <c r="M183" s="51"/>
      <c r="N183" s="51"/>
    </row>
    <row r="184" spans="13:14" x14ac:dyDescent="0.25">
      <c r="M184" s="51"/>
      <c r="N184" s="51"/>
    </row>
    <row r="185" spans="13:14" x14ac:dyDescent="0.25">
      <c r="M185" s="51"/>
      <c r="N185" s="51"/>
    </row>
    <row r="186" spans="13:14" x14ac:dyDescent="0.25">
      <c r="M186" s="51"/>
      <c r="N186" s="51"/>
    </row>
    <row r="187" spans="13:14" x14ac:dyDescent="0.25">
      <c r="M187" s="51"/>
      <c r="N187" s="51"/>
    </row>
    <row r="188" spans="13:14" x14ac:dyDescent="0.25">
      <c r="M188" s="51"/>
      <c r="N188" s="51"/>
    </row>
    <row r="189" spans="13:14" x14ac:dyDescent="0.25">
      <c r="M189" s="51"/>
      <c r="N189" s="51"/>
    </row>
    <row r="190" spans="13:14" x14ac:dyDescent="0.25">
      <c r="M190" s="51"/>
      <c r="N190" s="51"/>
    </row>
    <row r="191" spans="13:14" x14ac:dyDescent="0.25">
      <c r="M191" s="51"/>
      <c r="N191" s="51"/>
    </row>
    <row r="192" spans="13:14" x14ac:dyDescent="0.25">
      <c r="M192" s="51"/>
      <c r="N192" s="51"/>
    </row>
    <row r="193" spans="13:14" x14ac:dyDescent="0.25">
      <c r="M193" s="51"/>
      <c r="N193" s="51"/>
    </row>
    <row r="194" spans="13:14" x14ac:dyDescent="0.25">
      <c r="M194" s="51"/>
      <c r="N194" s="51"/>
    </row>
    <row r="195" spans="13:14" x14ac:dyDescent="0.25">
      <c r="M195" s="51"/>
      <c r="N195" s="51"/>
    </row>
    <row r="196" spans="13:14" x14ac:dyDescent="0.25">
      <c r="M196" s="51"/>
      <c r="N196" s="51"/>
    </row>
    <row r="197" spans="13:14" x14ac:dyDescent="0.25">
      <c r="M197" s="51"/>
      <c r="N197" s="51"/>
    </row>
    <row r="198" spans="13:14" x14ac:dyDescent="0.25">
      <c r="M198" s="51"/>
      <c r="N198" s="51"/>
    </row>
    <row r="199" spans="13:14" x14ac:dyDescent="0.25">
      <c r="M199" s="51"/>
      <c r="N199" s="51"/>
    </row>
    <row r="200" spans="13:14" x14ac:dyDescent="0.25">
      <c r="M200" s="51"/>
      <c r="N200" s="51"/>
    </row>
    <row r="201" spans="13:14" x14ac:dyDescent="0.25">
      <c r="M201" s="51"/>
      <c r="N201" s="51"/>
    </row>
    <row r="202" spans="13:14" x14ac:dyDescent="0.25">
      <c r="M202" s="51"/>
      <c r="N202" s="51"/>
    </row>
    <row r="203" spans="13:14" x14ac:dyDescent="0.25">
      <c r="M203" s="51"/>
      <c r="N203" s="51"/>
    </row>
    <row r="204" spans="13:14" x14ac:dyDescent="0.25">
      <c r="M204" s="51"/>
      <c r="N204" s="51"/>
    </row>
    <row r="205" spans="13:14" x14ac:dyDescent="0.25">
      <c r="M205" s="51"/>
      <c r="N205" s="51"/>
    </row>
    <row r="206" spans="13:14" x14ac:dyDescent="0.25">
      <c r="M206" s="51"/>
      <c r="N206" s="51"/>
    </row>
    <row r="207" spans="13:14" x14ac:dyDescent="0.25">
      <c r="M207" s="51"/>
      <c r="N207" s="51"/>
    </row>
    <row r="208" spans="13:14" x14ac:dyDescent="0.25">
      <c r="M208" s="51"/>
      <c r="N208" s="51"/>
    </row>
    <row r="209" spans="13:14" x14ac:dyDescent="0.25">
      <c r="M209" s="51"/>
      <c r="N209" s="51"/>
    </row>
    <row r="210" spans="13:14" x14ac:dyDescent="0.25">
      <c r="M210" s="51"/>
      <c r="N210" s="51"/>
    </row>
    <row r="211" spans="13:14" x14ac:dyDescent="0.25">
      <c r="M211" s="51"/>
      <c r="N211" s="51"/>
    </row>
    <row r="212" spans="13:14" x14ac:dyDescent="0.25">
      <c r="M212" s="51"/>
      <c r="N212" s="51"/>
    </row>
    <row r="213" spans="13:14" x14ac:dyDescent="0.25">
      <c r="M213" s="51"/>
      <c r="N213" s="51"/>
    </row>
    <row r="214" spans="13:14" x14ac:dyDescent="0.25">
      <c r="M214" s="51"/>
      <c r="N214" s="51"/>
    </row>
    <row r="215" spans="13:14" x14ac:dyDescent="0.25">
      <c r="M215" s="51"/>
      <c r="N215" s="51"/>
    </row>
    <row r="216" spans="13:14" x14ac:dyDescent="0.25">
      <c r="M216" s="51"/>
      <c r="N216" s="51"/>
    </row>
    <row r="217" spans="13:14" x14ac:dyDescent="0.25">
      <c r="M217" s="51"/>
      <c r="N217" s="51"/>
    </row>
    <row r="218" spans="13:14" x14ac:dyDescent="0.25">
      <c r="M218" s="51"/>
      <c r="N218" s="51"/>
    </row>
    <row r="219" spans="13:14" x14ac:dyDescent="0.25">
      <c r="M219" s="51"/>
      <c r="N219" s="51"/>
    </row>
    <row r="220" spans="13:14" x14ac:dyDescent="0.25">
      <c r="M220" s="51"/>
      <c r="N220" s="51"/>
    </row>
    <row r="221" spans="13:14" x14ac:dyDescent="0.25">
      <c r="M221" s="51"/>
      <c r="N221" s="51"/>
    </row>
    <row r="222" spans="13:14" x14ac:dyDescent="0.25">
      <c r="M222" s="51"/>
      <c r="N222" s="51"/>
    </row>
    <row r="223" spans="13:14" x14ac:dyDescent="0.25">
      <c r="M223" s="51"/>
      <c r="N223" s="51"/>
    </row>
    <row r="224" spans="13:14" x14ac:dyDescent="0.25">
      <c r="M224" s="51"/>
      <c r="N224" s="51"/>
    </row>
    <row r="225" spans="13:14" x14ac:dyDescent="0.25">
      <c r="M225" s="51"/>
      <c r="N225" s="51"/>
    </row>
    <row r="226" spans="13:14" x14ac:dyDescent="0.25">
      <c r="M226" s="51"/>
      <c r="N226" s="51"/>
    </row>
    <row r="227" spans="13:14" x14ac:dyDescent="0.25">
      <c r="M227" s="51"/>
      <c r="N227" s="51"/>
    </row>
    <row r="228" spans="13:14" x14ac:dyDescent="0.25">
      <c r="M228" s="51"/>
      <c r="N228" s="51"/>
    </row>
    <row r="229" spans="13:14" x14ac:dyDescent="0.25">
      <c r="M229" s="51"/>
      <c r="N229" s="51"/>
    </row>
    <row r="230" spans="13:14" x14ac:dyDescent="0.25">
      <c r="M230" s="51"/>
      <c r="N230" s="51"/>
    </row>
    <row r="231" spans="13:14" x14ac:dyDescent="0.25">
      <c r="M231" s="51"/>
      <c r="N231" s="51"/>
    </row>
    <row r="232" spans="13:14" x14ac:dyDescent="0.25">
      <c r="M232" s="51"/>
      <c r="N232" s="51"/>
    </row>
    <row r="233" spans="13:14" x14ac:dyDescent="0.25">
      <c r="M233" s="51"/>
      <c r="N233" s="51"/>
    </row>
    <row r="234" spans="13:14" x14ac:dyDescent="0.25">
      <c r="M234" s="51"/>
      <c r="N234" s="51"/>
    </row>
    <row r="235" spans="13:14" x14ac:dyDescent="0.25">
      <c r="M235" s="51"/>
      <c r="N235" s="51"/>
    </row>
    <row r="236" spans="13:14" x14ac:dyDescent="0.25">
      <c r="M236" s="51"/>
      <c r="N236" s="51"/>
    </row>
    <row r="237" spans="13:14" x14ac:dyDescent="0.25">
      <c r="M237" s="51"/>
      <c r="N237" s="51"/>
    </row>
    <row r="238" spans="13:14" x14ac:dyDescent="0.25">
      <c r="M238" s="51"/>
      <c r="N238" s="51"/>
    </row>
    <row r="239" spans="13:14" x14ac:dyDescent="0.25">
      <c r="M239" s="51"/>
      <c r="N239" s="51"/>
    </row>
    <row r="240" spans="13:14" x14ac:dyDescent="0.25">
      <c r="M240" s="51"/>
      <c r="N240" s="51"/>
    </row>
    <row r="241" spans="13:14" x14ac:dyDescent="0.25">
      <c r="M241" s="51"/>
      <c r="N241" s="51"/>
    </row>
    <row r="242" spans="13:14" x14ac:dyDescent="0.25">
      <c r="M242" s="51"/>
      <c r="N242" s="51"/>
    </row>
    <row r="243" spans="13:14" x14ac:dyDescent="0.25">
      <c r="M243" s="51"/>
      <c r="N243" s="51"/>
    </row>
    <row r="244" spans="13:14" x14ac:dyDescent="0.25">
      <c r="M244" s="51"/>
      <c r="N244" s="51"/>
    </row>
    <row r="245" spans="13:14" x14ac:dyDescent="0.25">
      <c r="M245" s="51"/>
      <c r="N245" s="51"/>
    </row>
    <row r="246" spans="13:14" x14ac:dyDescent="0.25">
      <c r="M246" s="51"/>
      <c r="N246" s="51"/>
    </row>
    <row r="247" spans="13:14" x14ac:dyDescent="0.25">
      <c r="M247" s="51"/>
      <c r="N247" s="51"/>
    </row>
    <row r="248" spans="13:14" x14ac:dyDescent="0.25">
      <c r="M248" s="51"/>
      <c r="N248" s="51"/>
    </row>
    <row r="249" spans="13:14" x14ac:dyDescent="0.25">
      <c r="M249" s="51"/>
      <c r="N249" s="51"/>
    </row>
    <row r="250" spans="13:14" x14ac:dyDescent="0.25">
      <c r="M250" s="51"/>
      <c r="N250" s="51"/>
    </row>
    <row r="251" spans="13:14" x14ac:dyDescent="0.25">
      <c r="M251" s="51"/>
      <c r="N251" s="51"/>
    </row>
    <row r="252" spans="13:14" x14ac:dyDescent="0.25">
      <c r="M252" s="51"/>
      <c r="N252" s="51"/>
    </row>
    <row r="253" spans="13:14" x14ac:dyDescent="0.25">
      <c r="M253" s="51"/>
      <c r="N253" s="51"/>
    </row>
    <row r="254" spans="13:14" x14ac:dyDescent="0.25">
      <c r="M254" s="51"/>
      <c r="N254" s="51"/>
    </row>
    <row r="255" spans="13:14" x14ac:dyDescent="0.25">
      <c r="M255" s="51"/>
      <c r="N255" s="51"/>
    </row>
    <row r="256" spans="13:14" x14ac:dyDescent="0.25">
      <c r="M256" s="51"/>
      <c r="N256" s="51"/>
    </row>
    <row r="257" spans="13:14" x14ac:dyDescent="0.25">
      <c r="M257" s="51"/>
      <c r="N257" s="51"/>
    </row>
    <row r="258" spans="13:14" x14ac:dyDescent="0.25">
      <c r="M258" s="51"/>
      <c r="N258" s="51"/>
    </row>
    <row r="259" spans="13:14" x14ac:dyDescent="0.25">
      <c r="M259" s="51"/>
      <c r="N259" s="51"/>
    </row>
    <row r="260" spans="13:14" x14ac:dyDescent="0.25">
      <c r="M260" s="51"/>
      <c r="N260" s="51"/>
    </row>
    <row r="261" spans="13:14" x14ac:dyDescent="0.25">
      <c r="M261" s="51"/>
      <c r="N261" s="51"/>
    </row>
    <row r="262" spans="13:14" x14ac:dyDescent="0.25">
      <c r="M262" s="51"/>
      <c r="N262" s="51"/>
    </row>
    <row r="263" spans="13:14" x14ac:dyDescent="0.25">
      <c r="M263" s="51"/>
      <c r="N263" s="51"/>
    </row>
    <row r="264" spans="13:14" x14ac:dyDescent="0.25">
      <c r="M264" s="51"/>
      <c r="N264" s="51"/>
    </row>
    <row r="265" spans="13:14" x14ac:dyDescent="0.25">
      <c r="M265" s="51"/>
      <c r="N265" s="51"/>
    </row>
    <row r="266" spans="13:14" x14ac:dyDescent="0.25">
      <c r="M266" s="51"/>
      <c r="N266" s="51"/>
    </row>
    <row r="267" spans="13:14" x14ac:dyDescent="0.25">
      <c r="M267" s="51"/>
      <c r="N267" s="51"/>
    </row>
    <row r="268" spans="13:14" x14ac:dyDescent="0.25">
      <c r="M268" s="51"/>
      <c r="N268" s="51"/>
    </row>
    <row r="269" spans="13:14" x14ac:dyDescent="0.25">
      <c r="M269" s="51"/>
      <c r="N269" s="51"/>
    </row>
    <row r="270" spans="13:14" x14ac:dyDescent="0.25">
      <c r="M270" s="51"/>
      <c r="N270" s="51"/>
    </row>
    <row r="271" spans="13:14" x14ac:dyDescent="0.25">
      <c r="M271" s="51"/>
      <c r="N271" s="51"/>
    </row>
    <row r="272" spans="13:14" x14ac:dyDescent="0.25">
      <c r="M272" s="51"/>
      <c r="N272" s="51"/>
    </row>
    <row r="273" spans="13:14" x14ac:dyDescent="0.25">
      <c r="M273" s="51"/>
      <c r="N273" s="51"/>
    </row>
    <row r="274" spans="13:14" x14ac:dyDescent="0.25">
      <c r="M274" s="51"/>
      <c r="N274" s="51"/>
    </row>
    <row r="275" spans="13:14" x14ac:dyDescent="0.25">
      <c r="M275" s="51"/>
      <c r="N275" s="51"/>
    </row>
    <row r="276" spans="13:14" x14ac:dyDescent="0.25">
      <c r="M276" s="51"/>
      <c r="N276" s="51"/>
    </row>
    <row r="277" spans="13:14" x14ac:dyDescent="0.25">
      <c r="M277" s="51"/>
      <c r="N277" s="51"/>
    </row>
    <row r="278" spans="13:14" x14ac:dyDescent="0.25">
      <c r="M278" s="51"/>
      <c r="N278" s="51"/>
    </row>
    <row r="279" spans="13:14" x14ac:dyDescent="0.25">
      <c r="M279" s="51"/>
      <c r="N279" s="51"/>
    </row>
    <row r="280" spans="13:14" x14ac:dyDescent="0.25">
      <c r="M280" s="51"/>
      <c r="N280" s="51"/>
    </row>
    <row r="281" spans="13:14" x14ac:dyDescent="0.25">
      <c r="M281" s="51"/>
      <c r="N281" s="51"/>
    </row>
    <row r="282" spans="13:14" x14ac:dyDescent="0.25">
      <c r="M282" s="51"/>
      <c r="N282" s="51"/>
    </row>
    <row r="283" spans="13:14" x14ac:dyDescent="0.25">
      <c r="M283" s="51"/>
      <c r="N283" s="51"/>
    </row>
    <row r="284" spans="13:14" x14ac:dyDescent="0.25">
      <c r="M284" s="51"/>
      <c r="N284" s="51"/>
    </row>
    <row r="285" spans="13:14" x14ac:dyDescent="0.25">
      <c r="M285" s="51"/>
      <c r="N285" s="51"/>
    </row>
    <row r="286" spans="13:14" x14ac:dyDescent="0.25">
      <c r="M286" s="51"/>
      <c r="N286" s="51"/>
    </row>
    <row r="287" spans="13:14" x14ac:dyDescent="0.25">
      <c r="M287" s="51"/>
      <c r="N287" s="51"/>
    </row>
    <row r="288" spans="13:14" x14ac:dyDescent="0.25">
      <c r="M288" s="51"/>
      <c r="N288" s="51"/>
    </row>
    <row r="289" spans="13:14" x14ac:dyDescent="0.25">
      <c r="M289" s="51"/>
      <c r="N289" s="51"/>
    </row>
    <row r="290" spans="13:14" x14ac:dyDescent="0.25">
      <c r="M290" s="51"/>
      <c r="N290" s="51"/>
    </row>
    <row r="291" spans="13:14" x14ac:dyDescent="0.25">
      <c r="M291" s="51"/>
      <c r="N291" s="51"/>
    </row>
    <row r="292" spans="13:14" x14ac:dyDescent="0.25">
      <c r="M292" s="51"/>
      <c r="N292" s="51"/>
    </row>
    <row r="293" spans="13:14" x14ac:dyDescent="0.25">
      <c r="M293" s="51"/>
      <c r="N293" s="51"/>
    </row>
    <row r="294" spans="13:14" x14ac:dyDescent="0.25">
      <c r="M294" s="51"/>
      <c r="N294" s="51"/>
    </row>
    <row r="295" spans="13:14" x14ac:dyDescent="0.25">
      <c r="M295" s="51"/>
      <c r="N295" s="51"/>
    </row>
    <row r="296" spans="13:14" x14ac:dyDescent="0.25">
      <c r="M296" s="51"/>
      <c r="N296" s="51"/>
    </row>
    <row r="297" spans="13:14" x14ac:dyDescent="0.25">
      <c r="M297" s="51"/>
      <c r="N297" s="51"/>
    </row>
    <row r="298" spans="13:14" x14ac:dyDescent="0.25">
      <c r="M298" s="51"/>
      <c r="N298" s="51"/>
    </row>
    <row r="299" spans="13:14" x14ac:dyDescent="0.25">
      <c r="M299" s="51"/>
      <c r="N299" s="51"/>
    </row>
    <row r="300" spans="13:14" x14ac:dyDescent="0.25">
      <c r="M300" s="51"/>
      <c r="N300" s="51"/>
    </row>
    <row r="301" spans="13:14" x14ac:dyDescent="0.25">
      <c r="M301" s="51"/>
      <c r="N301" s="51"/>
    </row>
    <row r="302" spans="13:14" x14ac:dyDescent="0.25">
      <c r="M302" s="51"/>
      <c r="N302" s="51"/>
    </row>
    <row r="303" spans="13:14" x14ac:dyDescent="0.25">
      <c r="M303" s="51"/>
      <c r="N303" s="51"/>
    </row>
    <row r="304" spans="13:14" x14ac:dyDescent="0.25">
      <c r="M304" s="51"/>
      <c r="N304" s="51"/>
    </row>
    <row r="305" spans="13:14" x14ac:dyDescent="0.25">
      <c r="M305" s="51"/>
      <c r="N305" s="51"/>
    </row>
    <row r="306" spans="13:14" x14ac:dyDescent="0.25">
      <c r="M306" s="51"/>
      <c r="N306" s="51"/>
    </row>
    <row r="307" spans="13:14" x14ac:dyDescent="0.25">
      <c r="M307" s="51"/>
      <c r="N307" s="51"/>
    </row>
    <row r="308" spans="13:14" x14ac:dyDescent="0.25">
      <c r="M308" s="51"/>
      <c r="N308" s="51"/>
    </row>
    <row r="309" spans="13:14" x14ac:dyDescent="0.25">
      <c r="M309" s="51"/>
      <c r="N309" s="51"/>
    </row>
    <row r="310" spans="13:14" x14ac:dyDescent="0.25">
      <c r="M310" s="51"/>
      <c r="N310" s="51"/>
    </row>
    <row r="311" spans="13:14" x14ac:dyDescent="0.25">
      <c r="M311" s="51"/>
      <c r="N311" s="51"/>
    </row>
    <row r="312" spans="13:14" x14ac:dyDescent="0.25">
      <c r="M312" s="51"/>
      <c r="N312" s="51"/>
    </row>
    <row r="313" spans="13:14" x14ac:dyDescent="0.25">
      <c r="M313" s="51"/>
      <c r="N313" s="51"/>
    </row>
    <row r="314" spans="13:14" x14ac:dyDescent="0.25">
      <c r="M314" s="51"/>
      <c r="N314" s="51"/>
    </row>
    <row r="315" spans="13:14" x14ac:dyDescent="0.25">
      <c r="M315" s="51"/>
      <c r="N315" s="51"/>
    </row>
    <row r="316" spans="13:14" x14ac:dyDescent="0.25">
      <c r="M316" s="51"/>
      <c r="N316" s="51"/>
    </row>
    <row r="317" spans="13:14" x14ac:dyDescent="0.25">
      <c r="M317" s="51"/>
      <c r="N317" s="51"/>
    </row>
    <row r="318" spans="13:14" x14ac:dyDescent="0.25">
      <c r="M318" s="51"/>
      <c r="N318" s="51"/>
    </row>
    <row r="319" spans="13:14" x14ac:dyDescent="0.25">
      <c r="M319" s="51"/>
      <c r="N319" s="51"/>
    </row>
    <row r="320" spans="13:14" x14ac:dyDescent="0.25">
      <c r="M320" s="51"/>
      <c r="N320" s="51"/>
    </row>
    <row r="321" spans="13:14" x14ac:dyDescent="0.25">
      <c r="M321" s="51"/>
      <c r="N321" s="51"/>
    </row>
    <row r="322" spans="13:14" x14ac:dyDescent="0.25">
      <c r="M322" s="51"/>
      <c r="N322" s="51"/>
    </row>
    <row r="323" spans="13:14" x14ac:dyDescent="0.25">
      <c r="M323" s="51"/>
      <c r="N323" s="51"/>
    </row>
    <row r="324" spans="13:14" x14ac:dyDescent="0.25">
      <c r="M324" s="51"/>
      <c r="N324" s="51"/>
    </row>
    <row r="325" spans="13:14" x14ac:dyDescent="0.25">
      <c r="M325" s="51"/>
      <c r="N325" s="51"/>
    </row>
    <row r="326" spans="13:14" x14ac:dyDescent="0.25">
      <c r="M326" s="51"/>
      <c r="N326" s="51"/>
    </row>
    <row r="327" spans="13:14" x14ac:dyDescent="0.25">
      <c r="M327" s="51"/>
      <c r="N327" s="51"/>
    </row>
    <row r="328" spans="13:14" x14ac:dyDescent="0.25">
      <c r="M328" s="51"/>
      <c r="N328" s="51"/>
    </row>
    <row r="329" spans="13:14" x14ac:dyDescent="0.25">
      <c r="M329" s="51"/>
      <c r="N329" s="51"/>
    </row>
    <row r="330" spans="13:14" x14ac:dyDescent="0.25">
      <c r="M330" s="51"/>
      <c r="N330" s="51"/>
    </row>
    <row r="331" spans="13:14" x14ac:dyDescent="0.25">
      <c r="M331" s="51"/>
      <c r="N331" s="51"/>
    </row>
    <row r="332" spans="13:14" x14ac:dyDescent="0.25">
      <c r="M332" s="51"/>
      <c r="N332" s="51"/>
    </row>
    <row r="333" spans="13:14" x14ac:dyDescent="0.25">
      <c r="M333" s="51"/>
      <c r="N333" s="51"/>
    </row>
    <row r="334" spans="13:14" x14ac:dyDescent="0.25">
      <c r="M334" s="51"/>
      <c r="N334" s="51"/>
    </row>
    <row r="335" spans="13:14" x14ac:dyDescent="0.25">
      <c r="M335" s="51"/>
      <c r="N335" s="51"/>
    </row>
    <row r="336" spans="13:14" x14ac:dyDescent="0.25">
      <c r="M336" s="51"/>
      <c r="N336" s="51"/>
    </row>
    <row r="337" spans="13:15" x14ac:dyDescent="0.25">
      <c r="M337" s="51"/>
      <c r="N337" s="51"/>
    </row>
    <row r="338" spans="13:15" x14ac:dyDescent="0.25">
      <c r="M338" s="51"/>
      <c r="N338" s="51"/>
    </row>
    <row r="339" spans="13:15" x14ac:dyDescent="0.25">
      <c r="M339" s="51"/>
      <c r="N339" s="51"/>
    </row>
    <row r="340" spans="13:15" x14ac:dyDescent="0.25">
      <c r="M340" s="51"/>
      <c r="N340" s="51"/>
    </row>
    <row r="341" spans="13:15" x14ac:dyDescent="0.25">
      <c r="M341" s="51"/>
      <c r="N341" s="51"/>
    </row>
    <row r="342" spans="13:15" x14ac:dyDescent="0.25">
      <c r="M342" s="51"/>
      <c r="N342" s="51"/>
    </row>
    <row r="343" spans="13:15" x14ac:dyDescent="0.25">
      <c r="M343" s="51"/>
      <c r="N343" s="51"/>
    </row>
    <row r="344" spans="13:15" x14ac:dyDescent="0.25">
      <c r="M344" s="51"/>
      <c r="N344" s="51"/>
    </row>
    <row r="345" spans="13:15" x14ac:dyDescent="0.25">
      <c r="M345" s="51"/>
      <c r="N345" s="51"/>
    </row>
    <row r="346" spans="13:15" x14ac:dyDescent="0.25">
      <c r="M346" s="51"/>
      <c r="N346" s="51"/>
    </row>
    <row r="347" spans="13:15" x14ac:dyDescent="0.25">
      <c r="M347" s="51"/>
      <c r="N347" s="51"/>
    </row>
    <row r="348" spans="13:15" x14ac:dyDescent="0.25">
      <c r="M348" s="51"/>
      <c r="N348" s="51"/>
    </row>
    <row r="349" spans="13:15" x14ac:dyDescent="0.25">
      <c r="M349" s="51"/>
      <c r="N349" s="51"/>
    </row>
    <row r="350" spans="13:15" x14ac:dyDescent="0.25">
      <c r="M350" s="51"/>
      <c r="N350" s="51"/>
    </row>
    <row r="351" spans="13:15" x14ac:dyDescent="0.25">
      <c r="M351" s="51"/>
      <c r="N351" s="51"/>
    </row>
    <row r="352" spans="13:15" x14ac:dyDescent="0.25">
      <c r="M352" s="51"/>
      <c r="N352" s="51"/>
      <c r="O352" s="51"/>
    </row>
    <row r="353" spans="13:14" x14ac:dyDescent="0.25">
      <c r="M353" s="51"/>
      <c r="N353" s="51"/>
    </row>
    <row r="354" spans="13:14" x14ac:dyDescent="0.25">
      <c r="M354" s="51"/>
      <c r="N354" s="51"/>
    </row>
    <row r="355" spans="13:14" x14ac:dyDescent="0.25">
      <c r="M355" s="51"/>
      <c r="N355" s="51"/>
    </row>
    <row r="356" spans="13:14" x14ac:dyDescent="0.25">
      <c r="M356" s="51"/>
      <c r="N356" s="51"/>
    </row>
    <row r="357" spans="13:14" x14ac:dyDescent="0.25">
      <c r="M357" s="51"/>
      <c r="N357" s="51"/>
    </row>
    <row r="358" spans="13:14" x14ac:dyDescent="0.25">
      <c r="M358" s="51"/>
      <c r="N358" s="51"/>
    </row>
    <row r="359" spans="13:14" x14ac:dyDescent="0.25">
      <c r="M359" s="51"/>
      <c r="N359" s="51"/>
    </row>
    <row r="360" spans="13:14" x14ac:dyDescent="0.25">
      <c r="M360" s="51"/>
      <c r="N360" s="51"/>
    </row>
    <row r="361" spans="13:14" x14ac:dyDescent="0.25">
      <c r="M361" s="51"/>
      <c r="N361" s="51"/>
    </row>
    <row r="362" spans="13:14" x14ac:dyDescent="0.25">
      <c r="M362" s="51"/>
      <c r="N362" s="51"/>
    </row>
    <row r="363" spans="13:14" x14ac:dyDescent="0.25">
      <c r="M363" s="51"/>
      <c r="N363" s="51"/>
    </row>
    <row r="364" spans="13:14" x14ac:dyDescent="0.25">
      <c r="M364" s="51"/>
      <c r="N364" s="51"/>
    </row>
    <row r="365" spans="13:14" x14ac:dyDescent="0.25">
      <c r="M365" s="51"/>
      <c r="N365" s="51"/>
    </row>
    <row r="366" spans="13:14" x14ac:dyDescent="0.25">
      <c r="M366" s="51"/>
      <c r="N366" s="51"/>
    </row>
    <row r="367" spans="13:14" x14ac:dyDescent="0.25">
      <c r="M367" s="51"/>
      <c r="N367" s="51"/>
    </row>
    <row r="368" spans="13:14" x14ac:dyDescent="0.25">
      <c r="M368" s="51"/>
      <c r="N368" s="51"/>
    </row>
    <row r="369" spans="13:14" x14ac:dyDescent="0.25">
      <c r="M369" s="51"/>
      <c r="N369" s="51"/>
    </row>
    <row r="370" spans="13:14" x14ac:dyDescent="0.25">
      <c r="M370" s="51"/>
      <c r="N370" s="51"/>
    </row>
    <row r="371" spans="13:14" x14ac:dyDescent="0.25">
      <c r="M371" s="51"/>
      <c r="N371" s="51"/>
    </row>
    <row r="372" spans="13:14" x14ac:dyDescent="0.25">
      <c r="M372" s="51"/>
      <c r="N372" s="51"/>
    </row>
    <row r="373" spans="13:14" x14ac:dyDescent="0.25">
      <c r="M373" s="51"/>
      <c r="N373" s="51"/>
    </row>
    <row r="374" spans="13:14" x14ac:dyDescent="0.25">
      <c r="M374" s="51"/>
      <c r="N374" s="51"/>
    </row>
    <row r="375" spans="13:14" x14ac:dyDescent="0.25">
      <c r="M375" s="51"/>
      <c r="N375" s="51"/>
    </row>
    <row r="376" spans="13:14" x14ac:dyDescent="0.25">
      <c r="M376" s="51"/>
      <c r="N376" s="51"/>
    </row>
    <row r="377" spans="13:14" x14ac:dyDescent="0.25">
      <c r="M377" s="51"/>
      <c r="N377" s="51"/>
    </row>
    <row r="378" spans="13:14" x14ac:dyDescent="0.25">
      <c r="M378" s="51"/>
      <c r="N378" s="51"/>
    </row>
    <row r="379" spans="13:14" x14ac:dyDescent="0.25">
      <c r="M379" s="51"/>
      <c r="N379" s="51"/>
    </row>
    <row r="380" spans="13:14" x14ac:dyDescent="0.25">
      <c r="M380" s="51"/>
      <c r="N380" s="51"/>
    </row>
    <row r="381" spans="13:14" x14ac:dyDescent="0.25">
      <c r="M381" s="51"/>
      <c r="N381" s="51"/>
    </row>
    <row r="382" spans="13:14" x14ac:dyDescent="0.25">
      <c r="M382" s="51"/>
      <c r="N382" s="51"/>
    </row>
    <row r="383" spans="13:14" x14ac:dyDescent="0.25">
      <c r="M383" s="51"/>
      <c r="N383" s="51"/>
    </row>
    <row r="384" spans="13:14" x14ac:dyDescent="0.25">
      <c r="M384" s="51"/>
      <c r="N384" s="51"/>
    </row>
    <row r="385" spans="13:14" x14ac:dyDescent="0.25">
      <c r="M385" s="51"/>
      <c r="N385" s="51"/>
    </row>
    <row r="386" spans="13:14" x14ac:dyDescent="0.25">
      <c r="M386" s="51"/>
      <c r="N386" s="51"/>
    </row>
    <row r="387" spans="13:14" x14ac:dyDescent="0.25">
      <c r="M387" s="51"/>
      <c r="N387" s="51"/>
    </row>
    <row r="388" spans="13:14" x14ac:dyDescent="0.25">
      <c r="M388" s="51"/>
      <c r="N388" s="51"/>
    </row>
    <row r="389" spans="13:14" x14ac:dyDescent="0.25">
      <c r="M389" s="51"/>
      <c r="N389" s="51"/>
    </row>
    <row r="390" spans="13:14" x14ac:dyDescent="0.25">
      <c r="M390" s="51"/>
      <c r="N390" s="51"/>
    </row>
    <row r="391" spans="13:14" x14ac:dyDescent="0.25">
      <c r="M391" s="51"/>
      <c r="N391" s="51"/>
    </row>
    <row r="392" spans="13:14" x14ac:dyDescent="0.25">
      <c r="M392" s="51"/>
      <c r="N392" s="51"/>
    </row>
    <row r="393" spans="13:14" x14ac:dyDescent="0.25">
      <c r="M393" s="51"/>
      <c r="N393" s="51"/>
    </row>
    <row r="394" spans="13:14" x14ac:dyDescent="0.25">
      <c r="M394" s="51"/>
      <c r="N394" s="51"/>
    </row>
    <row r="395" spans="13:14" x14ac:dyDescent="0.25">
      <c r="M395" s="51"/>
      <c r="N395" s="51"/>
    </row>
    <row r="396" spans="13:14" x14ac:dyDescent="0.25">
      <c r="M396" s="51"/>
      <c r="N396" s="51"/>
    </row>
    <row r="397" spans="13:14" x14ac:dyDescent="0.25">
      <c r="M397" s="51"/>
      <c r="N397" s="51"/>
    </row>
    <row r="398" spans="13:14" x14ac:dyDescent="0.25">
      <c r="M398" s="51"/>
      <c r="N398" s="51"/>
    </row>
    <row r="399" spans="13:14" x14ac:dyDescent="0.25">
      <c r="M399" s="51"/>
      <c r="N399" s="51"/>
    </row>
    <row r="400" spans="13:14" x14ac:dyDescent="0.25">
      <c r="M400" s="51"/>
      <c r="N400" s="51"/>
    </row>
    <row r="401" spans="13:14" x14ac:dyDescent="0.25">
      <c r="M401" s="51"/>
      <c r="N401" s="51"/>
    </row>
    <row r="402" spans="13:14" x14ac:dyDescent="0.25">
      <c r="M402" s="51"/>
      <c r="N402" s="51"/>
    </row>
    <row r="403" spans="13:14" x14ac:dyDescent="0.25">
      <c r="M403" s="51"/>
      <c r="N403" s="51"/>
    </row>
    <row r="404" spans="13:14" x14ac:dyDescent="0.25">
      <c r="M404" s="51"/>
      <c r="N404" s="51"/>
    </row>
    <row r="405" spans="13:14" x14ac:dyDescent="0.25">
      <c r="M405" s="51"/>
      <c r="N405" s="51"/>
    </row>
    <row r="406" spans="13:14" x14ac:dyDescent="0.25">
      <c r="M406" s="51"/>
      <c r="N406" s="51"/>
    </row>
    <row r="407" spans="13:14" x14ac:dyDescent="0.25">
      <c r="M407" s="51"/>
      <c r="N407" s="51"/>
    </row>
    <row r="408" spans="13:14" x14ac:dyDescent="0.25">
      <c r="M408" s="51"/>
      <c r="N408" s="51"/>
    </row>
    <row r="409" spans="13:14" x14ac:dyDescent="0.25">
      <c r="M409" s="51"/>
      <c r="N409" s="51"/>
    </row>
    <row r="410" spans="13:14" x14ac:dyDescent="0.25">
      <c r="M410" s="51"/>
      <c r="N410" s="51"/>
    </row>
    <row r="411" spans="13:14" x14ac:dyDescent="0.25">
      <c r="M411" s="51"/>
      <c r="N411" s="51"/>
    </row>
    <row r="412" spans="13:14" x14ac:dyDescent="0.25">
      <c r="M412" s="51"/>
      <c r="N412" s="51"/>
    </row>
    <row r="413" spans="13:14" x14ac:dyDescent="0.25">
      <c r="M413" s="51"/>
      <c r="N413" s="51"/>
    </row>
    <row r="414" spans="13:14" x14ac:dyDescent="0.25">
      <c r="M414" s="51"/>
      <c r="N414" s="51"/>
    </row>
    <row r="415" spans="13:14" x14ac:dyDescent="0.25">
      <c r="M415" s="51"/>
      <c r="N415" s="51"/>
    </row>
    <row r="416" spans="13:14" x14ac:dyDescent="0.25">
      <c r="M416" s="51"/>
      <c r="N416" s="51"/>
    </row>
    <row r="417" spans="13:14" x14ac:dyDescent="0.25">
      <c r="M417" s="51"/>
      <c r="N417" s="51"/>
    </row>
    <row r="418" spans="13:14" x14ac:dyDescent="0.25">
      <c r="M418" s="51"/>
      <c r="N418" s="51"/>
    </row>
    <row r="419" spans="13:14" x14ac:dyDescent="0.25">
      <c r="M419" s="51"/>
      <c r="N419" s="51"/>
    </row>
    <row r="420" spans="13:14" x14ac:dyDescent="0.25">
      <c r="M420" s="51"/>
      <c r="N420" s="51"/>
    </row>
    <row r="421" spans="13:14" x14ac:dyDescent="0.25">
      <c r="M421" s="51"/>
      <c r="N421" s="51"/>
    </row>
    <row r="422" spans="13:14" x14ac:dyDescent="0.25">
      <c r="M422" s="51"/>
      <c r="N422" s="51"/>
    </row>
    <row r="423" spans="13:14" x14ac:dyDescent="0.25">
      <c r="M423" s="51"/>
      <c r="N423" s="51"/>
    </row>
    <row r="424" spans="13:14" x14ac:dyDescent="0.25">
      <c r="M424" s="51"/>
      <c r="N424" s="51"/>
    </row>
    <row r="425" spans="13:14" x14ac:dyDescent="0.25">
      <c r="M425" s="51"/>
      <c r="N425" s="51"/>
    </row>
    <row r="426" spans="13:14" x14ac:dyDescent="0.25">
      <c r="M426" s="51"/>
      <c r="N426" s="51"/>
    </row>
    <row r="427" spans="13:14" x14ac:dyDescent="0.25">
      <c r="M427" s="51"/>
      <c r="N427" s="51"/>
    </row>
    <row r="428" spans="13:14" x14ac:dyDescent="0.25">
      <c r="M428" s="51"/>
      <c r="N428" s="51"/>
    </row>
    <row r="429" spans="13:14" x14ac:dyDescent="0.25">
      <c r="M429" s="51"/>
      <c r="N429" s="51"/>
    </row>
    <row r="430" spans="13:14" x14ac:dyDescent="0.25">
      <c r="M430" s="51"/>
      <c r="N430" s="51"/>
    </row>
    <row r="431" spans="13:14" x14ac:dyDescent="0.25">
      <c r="M431" s="51"/>
      <c r="N431" s="51"/>
    </row>
    <row r="432" spans="13:14" x14ac:dyDescent="0.25">
      <c r="M432" s="51"/>
      <c r="N432" s="51"/>
    </row>
    <row r="433" spans="13:14" x14ac:dyDescent="0.25">
      <c r="M433" s="51"/>
      <c r="N433" s="51"/>
    </row>
    <row r="434" spans="13:14" x14ac:dyDescent="0.25">
      <c r="M434" s="51"/>
      <c r="N434" s="51"/>
    </row>
    <row r="435" spans="13:14" x14ac:dyDescent="0.25">
      <c r="M435" s="51"/>
      <c r="N435" s="51"/>
    </row>
    <row r="436" spans="13:14" x14ac:dyDescent="0.25">
      <c r="M436" s="51"/>
      <c r="N436" s="51"/>
    </row>
    <row r="437" spans="13:14" x14ac:dyDescent="0.25">
      <c r="M437" s="51"/>
      <c r="N437" s="51"/>
    </row>
    <row r="438" spans="13:14" x14ac:dyDescent="0.25">
      <c r="M438" s="51"/>
      <c r="N438" s="51"/>
    </row>
    <row r="439" spans="13:14" x14ac:dyDescent="0.25">
      <c r="M439" s="51"/>
      <c r="N439" s="51"/>
    </row>
    <row r="440" spans="13:14" x14ac:dyDescent="0.25">
      <c r="M440" s="51"/>
      <c r="N440" s="51"/>
    </row>
    <row r="441" spans="13:14" x14ac:dyDescent="0.25">
      <c r="M441" s="51"/>
      <c r="N441" s="51"/>
    </row>
    <row r="442" spans="13:14" x14ac:dyDescent="0.25">
      <c r="M442" s="51"/>
      <c r="N442" s="51"/>
    </row>
    <row r="443" spans="13:14" x14ac:dyDescent="0.25">
      <c r="M443" s="51"/>
      <c r="N443" s="51"/>
    </row>
    <row r="444" spans="13:14" x14ac:dyDescent="0.25">
      <c r="M444" s="51"/>
      <c r="N444" s="51"/>
    </row>
    <row r="445" spans="13:14" x14ac:dyDescent="0.25">
      <c r="M445" s="51"/>
      <c r="N445" s="51"/>
    </row>
    <row r="446" spans="13:14" x14ac:dyDescent="0.25">
      <c r="M446" s="51"/>
      <c r="N446" s="51"/>
    </row>
    <row r="447" spans="13:14" x14ac:dyDescent="0.25">
      <c r="M447" s="51"/>
      <c r="N447" s="51"/>
    </row>
    <row r="448" spans="13:14" x14ac:dyDescent="0.25">
      <c r="M448" s="51"/>
      <c r="N448" s="51"/>
    </row>
    <row r="449" spans="13:14" x14ac:dyDescent="0.25">
      <c r="M449" s="51"/>
      <c r="N449" s="51"/>
    </row>
    <row r="450" spans="13:14" x14ac:dyDescent="0.25">
      <c r="M450" s="51"/>
      <c r="N450" s="51"/>
    </row>
    <row r="451" spans="13:14" x14ac:dyDescent="0.25">
      <c r="M451" s="51"/>
      <c r="N451" s="51"/>
    </row>
    <row r="452" spans="13:14" x14ac:dyDescent="0.25">
      <c r="M452" s="51"/>
      <c r="N452" s="51"/>
    </row>
    <row r="453" spans="13:14" x14ac:dyDescent="0.25">
      <c r="M453" s="51"/>
      <c r="N453" s="51"/>
    </row>
    <row r="454" spans="13:14" x14ac:dyDescent="0.25">
      <c r="M454" s="51"/>
      <c r="N454" s="51"/>
    </row>
    <row r="455" spans="13:14" x14ac:dyDescent="0.25">
      <c r="M455" s="51"/>
      <c r="N455" s="51"/>
    </row>
    <row r="456" spans="13:14" x14ac:dyDescent="0.25">
      <c r="M456" s="51"/>
      <c r="N456" s="51"/>
    </row>
    <row r="457" spans="13:14" x14ac:dyDescent="0.25">
      <c r="M457" s="51"/>
      <c r="N457" s="51"/>
    </row>
    <row r="458" spans="13:14" x14ac:dyDescent="0.25">
      <c r="M458" s="51"/>
      <c r="N458" s="51"/>
    </row>
    <row r="459" spans="13:14" x14ac:dyDescent="0.25">
      <c r="M459" s="51"/>
      <c r="N459" s="51"/>
    </row>
    <row r="460" spans="13:14" x14ac:dyDescent="0.25">
      <c r="M460" s="51"/>
      <c r="N460" s="51"/>
    </row>
    <row r="461" spans="13:14" x14ac:dyDescent="0.25">
      <c r="M461" s="51"/>
      <c r="N461" s="51"/>
    </row>
    <row r="462" spans="13:14" x14ac:dyDescent="0.25">
      <c r="M462" s="51"/>
      <c r="N462" s="51"/>
    </row>
    <row r="463" spans="13:14" x14ac:dyDescent="0.25">
      <c r="M463" s="51"/>
      <c r="N463" s="51"/>
    </row>
    <row r="464" spans="13:14" x14ac:dyDescent="0.25">
      <c r="M464" s="51"/>
      <c r="N464" s="51"/>
    </row>
    <row r="465" spans="13:14" x14ac:dyDescent="0.25">
      <c r="M465" s="51"/>
      <c r="N465" s="51"/>
    </row>
    <row r="466" spans="13:14" x14ac:dyDescent="0.25">
      <c r="M466" s="51"/>
      <c r="N466" s="51"/>
    </row>
    <row r="467" spans="13:14" x14ac:dyDescent="0.25">
      <c r="M467" s="51"/>
      <c r="N467" s="51"/>
    </row>
    <row r="468" spans="13:14" x14ac:dyDescent="0.25">
      <c r="M468" s="51"/>
      <c r="N468" s="51"/>
    </row>
    <row r="469" spans="13:14" x14ac:dyDescent="0.25">
      <c r="M469" s="51"/>
      <c r="N469" s="51"/>
    </row>
    <row r="470" spans="13:14" x14ac:dyDescent="0.25">
      <c r="M470" s="51"/>
      <c r="N470" s="51"/>
    </row>
    <row r="471" spans="13:14" x14ac:dyDescent="0.25">
      <c r="M471" s="51"/>
      <c r="N471" s="51"/>
    </row>
    <row r="472" spans="13:14" x14ac:dyDescent="0.25">
      <c r="M472" s="51"/>
      <c r="N472" s="51"/>
    </row>
    <row r="473" spans="13:14" x14ac:dyDescent="0.25">
      <c r="M473" s="51"/>
      <c r="N473" s="51"/>
    </row>
    <row r="474" spans="13:14" x14ac:dyDescent="0.25">
      <c r="M474" s="51"/>
      <c r="N474" s="51"/>
    </row>
    <row r="475" spans="13:14" x14ac:dyDescent="0.25">
      <c r="M475" s="51"/>
      <c r="N475" s="51"/>
    </row>
    <row r="476" spans="13:14" x14ac:dyDescent="0.25">
      <c r="M476" s="51"/>
      <c r="N476" s="51"/>
    </row>
    <row r="477" spans="13:14" x14ac:dyDescent="0.25">
      <c r="M477" s="51"/>
      <c r="N477" s="51"/>
    </row>
    <row r="478" spans="13:14" x14ac:dyDescent="0.25">
      <c r="M478" s="51"/>
      <c r="N478" s="51"/>
    </row>
    <row r="479" spans="13:14" x14ac:dyDescent="0.25">
      <c r="M479" s="51"/>
      <c r="N479" s="51"/>
    </row>
    <row r="480" spans="13:14" x14ac:dyDescent="0.25">
      <c r="M480" s="51"/>
      <c r="N480" s="51"/>
    </row>
    <row r="481" spans="13:14" x14ac:dyDescent="0.25">
      <c r="M481" s="51"/>
      <c r="N481" s="51"/>
    </row>
    <row r="482" spans="13:14" x14ac:dyDescent="0.25">
      <c r="M482" s="51"/>
      <c r="N482" s="51"/>
    </row>
    <row r="483" spans="13:14" x14ac:dyDescent="0.25">
      <c r="M483" s="51"/>
      <c r="N483" s="51"/>
    </row>
    <row r="484" spans="13:14" x14ac:dyDescent="0.25">
      <c r="M484" s="51"/>
      <c r="N484" s="51"/>
    </row>
    <row r="485" spans="13:14" x14ac:dyDescent="0.25">
      <c r="M485" s="51"/>
      <c r="N485" s="51"/>
    </row>
    <row r="486" spans="13:14" x14ac:dyDescent="0.25">
      <c r="M486" s="51"/>
      <c r="N486" s="51"/>
    </row>
    <row r="487" spans="13:14" x14ac:dyDescent="0.25">
      <c r="M487" s="51"/>
      <c r="N487" s="51"/>
    </row>
    <row r="488" spans="13:14" x14ac:dyDescent="0.25">
      <c r="M488" s="51"/>
      <c r="N488" s="51"/>
    </row>
    <row r="489" spans="13:14" x14ac:dyDescent="0.25">
      <c r="M489" s="51"/>
      <c r="N489" s="51"/>
    </row>
    <row r="490" spans="13:14" x14ac:dyDescent="0.25">
      <c r="M490" s="51"/>
      <c r="N490" s="51"/>
    </row>
    <row r="491" spans="13:14" x14ac:dyDescent="0.25">
      <c r="M491" s="51"/>
      <c r="N491" s="51"/>
    </row>
    <row r="492" spans="13:14" x14ac:dyDescent="0.25">
      <c r="M492" s="51"/>
      <c r="N492" s="51"/>
    </row>
    <row r="493" spans="13:14" x14ac:dyDescent="0.25">
      <c r="M493" s="51"/>
      <c r="N493" s="51"/>
    </row>
    <row r="494" spans="13:14" x14ac:dyDescent="0.25">
      <c r="M494" s="51"/>
      <c r="N494" s="51"/>
    </row>
    <row r="495" spans="13:14" x14ac:dyDescent="0.25">
      <c r="M495" s="51"/>
      <c r="N495" s="51"/>
    </row>
    <row r="496" spans="13:14" x14ac:dyDescent="0.25">
      <c r="M496" s="51"/>
      <c r="N496" s="51"/>
    </row>
    <row r="497" spans="13:14" x14ac:dyDescent="0.25">
      <c r="M497" s="51"/>
      <c r="N497" s="51"/>
    </row>
    <row r="498" spans="13:14" x14ac:dyDescent="0.25">
      <c r="M498" s="51"/>
      <c r="N498" s="51"/>
    </row>
    <row r="499" spans="13:14" x14ac:dyDescent="0.25">
      <c r="M499" s="51"/>
      <c r="N499" s="51"/>
    </row>
    <row r="500" spans="13:14" x14ac:dyDescent="0.25">
      <c r="M500" s="51"/>
      <c r="N500" s="51"/>
    </row>
    <row r="501" spans="13:14" x14ac:dyDescent="0.25">
      <c r="M501" s="51"/>
      <c r="N501" s="51"/>
    </row>
    <row r="502" spans="13:14" x14ac:dyDescent="0.25">
      <c r="M502" s="51"/>
      <c r="N502" s="51"/>
    </row>
    <row r="503" spans="13:14" x14ac:dyDescent="0.25">
      <c r="M503" s="51"/>
      <c r="N503" s="51"/>
    </row>
    <row r="504" spans="13:14" x14ac:dyDescent="0.25">
      <c r="M504" s="51"/>
      <c r="N504" s="51"/>
    </row>
    <row r="505" spans="13:14" x14ac:dyDescent="0.25">
      <c r="M505" s="51"/>
      <c r="N505" s="51"/>
    </row>
    <row r="506" spans="13:14" x14ac:dyDescent="0.25">
      <c r="M506" s="51"/>
      <c r="N506" s="51"/>
    </row>
    <row r="507" spans="13:14" x14ac:dyDescent="0.25">
      <c r="M507" s="51"/>
      <c r="N507" s="51"/>
    </row>
    <row r="508" spans="13:14" x14ac:dyDescent="0.25">
      <c r="M508" s="51"/>
      <c r="N508" s="51"/>
    </row>
    <row r="509" spans="13:14" x14ac:dyDescent="0.25">
      <c r="M509" s="51"/>
      <c r="N509" s="51"/>
    </row>
    <row r="510" spans="13:14" x14ac:dyDescent="0.25">
      <c r="M510" s="51"/>
      <c r="N510" s="51"/>
    </row>
    <row r="511" spans="13:14" x14ac:dyDescent="0.25">
      <c r="M511" s="51"/>
      <c r="N511" s="51"/>
    </row>
    <row r="512" spans="13:14" x14ac:dyDescent="0.25">
      <c r="M512" s="51"/>
      <c r="N512" s="51"/>
    </row>
    <row r="513" spans="13:14" x14ac:dyDescent="0.25">
      <c r="M513" s="51"/>
      <c r="N513" s="51"/>
    </row>
    <row r="514" spans="13:14" x14ac:dyDescent="0.25">
      <c r="M514" s="51"/>
      <c r="N514" s="51"/>
    </row>
    <row r="515" spans="13:14" x14ac:dyDescent="0.25">
      <c r="M515" s="51"/>
      <c r="N515" s="51"/>
    </row>
    <row r="516" spans="13:14" x14ac:dyDescent="0.25">
      <c r="M516" s="51"/>
      <c r="N516" s="51"/>
    </row>
    <row r="517" spans="13:14" x14ac:dyDescent="0.25">
      <c r="M517" s="51"/>
      <c r="N517" s="51"/>
    </row>
    <row r="518" spans="13:14" x14ac:dyDescent="0.25">
      <c r="M518" s="51"/>
      <c r="N518" s="51"/>
    </row>
    <row r="519" spans="13:14" x14ac:dyDescent="0.25">
      <c r="M519" s="51"/>
      <c r="N519" s="51"/>
    </row>
    <row r="520" spans="13:14" x14ac:dyDescent="0.25">
      <c r="M520" s="51"/>
      <c r="N520" s="51"/>
    </row>
    <row r="521" spans="13:14" x14ac:dyDescent="0.25">
      <c r="M521" s="51"/>
      <c r="N521" s="51"/>
    </row>
    <row r="522" spans="13:14" x14ac:dyDescent="0.25">
      <c r="M522" s="51"/>
      <c r="N522" s="51"/>
    </row>
    <row r="523" spans="13:14" x14ac:dyDescent="0.25">
      <c r="M523" s="51"/>
      <c r="N523" s="51"/>
    </row>
    <row r="524" spans="13:14" x14ac:dyDescent="0.25">
      <c r="M524" s="51"/>
      <c r="N524" s="51"/>
    </row>
    <row r="525" spans="13:14" x14ac:dyDescent="0.25">
      <c r="M525" s="51"/>
      <c r="N525" s="51"/>
    </row>
    <row r="526" spans="13:14" x14ac:dyDescent="0.25">
      <c r="M526" s="51"/>
      <c r="N526" s="51"/>
    </row>
    <row r="527" spans="13:14" x14ac:dyDescent="0.25">
      <c r="M527" s="51"/>
      <c r="N527" s="51"/>
    </row>
    <row r="528" spans="13:14" x14ac:dyDescent="0.25">
      <c r="M528" s="51"/>
      <c r="N528" s="51"/>
    </row>
    <row r="529" spans="13:14" x14ac:dyDescent="0.25">
      <c r="M529" s="51"/>
      <c r="N529" s="51"/>
    </row>
    <row r="530" spans="13:14" x14ac:dyDescent="0.25">
      <c r="M530" s="51"/>
      <c r="N530" s="51"/>
    </row>
    <row r="531" spans="13:14" x14ac:dyDescent="0.25">
      <c r="M531" s="51"/>
      <c r="N531" s="51"/>
    </row>
    <row r="532" spans="13:14" x14ac:dyDescent="0.25">
      <c r="M532" s="51"/>
      <c r="N532" s="51"/>
    </row>
    <row r="533" spans="13:14" x14ac:dyDescent="0.25">
      <c r="M533" s="51"/>
      <c r="N533" s="51"/>
    </row>
    <row r="534" spans="13:14" x14ac:dyDescent="0.25">
      <c r="M534" s="51"/>
      <c r="N534" s="51"/>
    </row>
    <row r="535" spans="13:14" x14ac:dyDescent="0.25">
      <c r="M535" s="51"/>
      <c r="N535" s="51"/>
    </row>
    <row r="536" spans="13:14" x14ac:dyDescent="0.25">
      <c r="M536" s="51"/>
      <c r="N536" s="51"/>
    </row>
    <row r="537" spans="13:14" x14ac:dyDescent="0.25">
      <c r="M537" s="51"/>
      <c r="N537" s="51"/>
    </row>
    <row r="538" spans="13:14" x14ac:dyDescent="0.25">
      <c r="M538" s="51"/>
      <c r="N538" s="51"/>
    </row>
    <row r="539" spans="13:14" x14ac:dyDescent="0.25">
      <c r="M539" s="51"/>
      <c r="N539" s="51"/>
    </row>
    <row r="540" spans="13:14" x14ac:dyDescent="0.25">
      <c r="M540" s="51"/>
      <c r="N540" s="51"/>
    </row>
    <row r="541" spans="13:14" x14ac:dyDescent="0.25">
      <c r="M541" s="51"/>
      <c r="N541" s="51"/>
    </row>
    <row r="542" spans="13:14" x14ac:dyDescent="0.25">
      <c r="M542" s="51"/>
      <c r="N542" s="51"/>
    </row>
    <row r="543" spans="13:14" x14ac:dyDescent="0.25">
      <c r="M543" s="51"/>
      <c r="N543" s="51"/>
    </row>
    <row r="544" spans="13:14" x14ac:dyDescent="0.25">
      <c r="M544" s="51"/>
      <c r="N544" s="51"/>
    </row>
    <row r="545" spans="13:14" x14ac:dyDescent="0.25">
      <c r="M545" s="51"/>
      <c r="N545" s="51"/>
    </row>
    <row r="546" spans="13:14" x14ac:dyDescent="0.25">
      <c r="M546" s="51"/>
      <c r="N546" s="51"/>
    </row>
    <row r="547" spans="13:14" x14ac:dyDescent="0.25">
      <c r="M547" s="51"/>
      <c r="N547" s="51"/>
    </row>
    <row r="548" spans="13:14" x14ac:dyDescent="0.25">
      <c r="M548" s="51"/>
      <c r="N548" s="51"/>
    </row>
    <row r="549" spans="13:14" x14ac:dyDescent="0.25">
      <c r="M549" s="51"/>
      <c r="N549" s="51"/>
    </row>
    <row r="550" spans="13:14" x14ac:dyDescent="0.25">
      <c r="M550" s="51"/>
      <c r="N550" s="51"/>
    </row>
    <row r="551" spans="13:14" x14ac:dyDescent="0.25">
      <c r="M551" s="51"/>
      <c r="N551" s="51"/>
    </row>
    <row r="552" spans="13:14" x14ac:dyDescent="0.25">
      <c r="M552" s="51"/>
      <c r="N552" s="51"/>
    </row>
    <row r="553" spans="13:14" x14ac:dyDescent="0.25">
      <c r="M553" s="51"/>
      <c r="N553" s="51"/>
    </row>
    <row r="554" spans="13:14" x14ac:dyDescent="0.25">
      <c r="M554" s="51"/>
      <c r="N554" s="51"/>
    </row>
    <row r="555" spans="13:14" x14ac:dyDescent="0.25">
      <c r="M555" s="51"/>
      <c r="N555" s="51"/>
    </row>
    <row r="556" spans="13:14" x14ac:dyDescent="0.25">
      <c r="M556" s="51"/>
      <c r="N556" s="51"/>
    </row>
    <row r="557" spans="13:14" x14ac:dyDescent="0.25">
      <c r="M557" s="51"/>
      <c r="N557" s="51"/>
    </row>
    <row r="558" spans="13:14" x14ac:dyDescent="0.25">
      <c r="M558" s="51"/>
      <c r="N558" s="51"/>
    </row>
    <row r="559" spans="13:14" x14ac:dyDescent="0.25">
      <c r="M559" s="51"/>
      <c r="N559" s="51"/>
    </row>
    <row r="560" spans="13:14" x14ac:dyDescent="0.25">
      <c r="M560" s="51"/>
      <c r="N560" s="51"/>
    </row>
    <row r="561" spans="13:14" x14ac:dyDescent="0.25">
      <c r="M561" s="51"/>
      <c r="N561" s="51"/>
    </row>
    <row r="562" spans="13:14" x14ac:dyDescent="0.25">
      <c r="M562" s="51"/>
      <c r="N562" s="51"/>
    </row>
    <row r="563" spans="13:14" x14ac:dyDescent="0.25">
      <c r="M563" s="51"/>
      <c r="N563" s="51"/>
    </row>
    <row r="564" spans="13:14" x14ac:dyDescent="0.25">
      <c r="M564" s="51"/>
      <c r="N564" s="51"/>
    </row>
    <row r="565" spans="13:14" x14ac:dyDescent="0.25">
      <c r="M565" s="51"/>
      <c r="N565" s="51"/>
    </row>
    <row r="566" spans="13:14" x14ac:dyDescent="0.25">
      <c r="M566" s="51"/>
      <c r="N566" s="51"/>
    </row>
    <row r="567" spans="13:14" x14ac:dyDescent="0.25">
      <c r="M567" s="51"/>
      <c r="N567" s="51"/>
    </row>
    <row r="568" spans="13:14" x14ac:dyDescent="0.25">
      <c r="M568" s="51"/>
      <c r="N568" s="51"/>
    </row>
    <row r="569" spans="13:14" x14ac:dyDescent="0.25">
      <c r="M569" s="51"/>
      <c r="N569" s="51"/>
    </row>
    <row r="570" spans="13:14" x14ac:dyDescent="0.25">
      <c r="M570" s="51"/>
      <c r="N570" s="51"/>
    </row>
    <row r="571" spans="13:14" x14ac:dyDescent="0.25">
      <c r="M571" s="51"/>
      <c r="N571" s="51"/>
    </row>
    <row r="572" spans="13:14" x14ac:dyDescent="0.25">
      <c r="M572" s="51"/>
      <c r="N572" s="51"/>
    </row>
    <row r="573" spans="13:14" x14ac:dyDescent="0.25">
      <c r="M573" s="51"/>
      <c r="N573" s="51"/>
    </row>
    <row r="574" spans="13:14" x14ac:dyDescent="0.25">
      <c r="M574" s="51"/>
      <c r="N574" s="51"/>
    </row>
    <row r="575" spans="13:14" x14ac:dyDescent="0.25">
      <c r="M575" s="51"/>
      <c r="N575" s="51"/>
    </row>
    <row r="576" spans="13:14" x14ac:dyDescent="0.25">
      <c r="M576" s="51"/>
      <c r="N576" s="51"/>
    </row>
    <row r="577" spans="13:14" x14ac:dyDescent="0.25">
      <c r="M577" s="51"/>
      <c r="N577" s="51"/>
    </row>
    <row r="578" spans="13:14" x14ac:dyDescent="0.25">
      <c r="M578" s="51"/>
      <c r="N578" s="51"/>
    </row>
    <row r="579" spans="13:14" x14ac:dyDescent="0.25">
      <c r="M579" s="51"/>
      <c r="N579" s="51"/>
    </row>
    <row r="580" spans="13:14" x14ac:dyDescent="0.25">
      <c r="M580" s="51"/>
      <c r="N580" s="51"/>
    </row>
    <row r="581" spans="13:14" x14ac:dyDescent="0.25">
      <c r="M581" s="51"/>
      <c r="N581" s="51"/>
    </row>
    <row r="582" spans="13:14" x14ac:dyDescent="0.25">
      <c r="M582" s="51"/>
      <c r="N582" s="51"/>
    </row>
    <row r="583" spans="13:14" x14ac:dyDescent="0.25">
      <c r="M583" s="51"/>
      <c r="N583" s="51"/>
    </row>
    <row r="584" spans="13:14" x14ac:dyDescent="0.25">
      <c r="M584" s="51"/>
      <c r="N584" s="51"/>
    </row>
    <row r="585" spans="13:14" x14ac:dyDescent="0.25">
      <c r="M585" s="51"/>
      <c r="N585" s="51"/>
    </row>
    <row r="586" spans="13:14" x14ac:dyDescent="0.25">
      <c r="M586" s="51"/>
      <c r="N586" s="51"/>
    </row>
    <row r="587" spans="13:14" x14ac:dyDescent="0.25">
      <c r="M587" s="51"/>
      <c r="N587" s="51"/>
    </row>
    <row r="588" spans="13:14" x14ac:dyDescent="0.25">
      <c r="M588" s="51"/>
      <c r="N588" s="51"/>
    </row>
    <row r="589" spans="13:14" x14ac:dyDescent="0.25">
      <c r="M589" s="51"/>
      <c r="N589" s="51"/>
    </row>
    <row r="590" spans="13:14" x14ac:dyDescent="0.25">
      <c r="M590" s="51"/>
      <c r="N590" s="51"/>
    </row>
    <row r="591" spans="13:14" x14ac:dyDescent="0.25">
      <c r="M591" s="51"/>
      <c r="N591" s="51"/>
    </row>
    <row r="592" spans="13:14" x14ac:dyDescent="0.25">
      <c r="M592" s="51"/>
      <c r="N592" s="51"/>
    </row>
    <row r="593" spans="13:14" x14ac:dyDescent="0.25">
      <c r="M593" s="51"/>
      <c r="N593" s="51"/>
    </row>
    <row r="594" spans="13:14" x14ac:dyDescent="0.25">
      <c r="M594" s="51"/>
      <c r="N594" s="51"/>
    </row>
    <row r="595" spans="13:14" x14ac:dyDescent="0.25">
      <c r="M595" s="51"/>
      <c r="N595" s="51"/>
    </row>
    <row r="596" spans="13:14" x14ac:dyDescent="0.25">
      <c r="M596" s="51"/>
      <c r="N596" s="51"/>
    </row>
    <row r="597" spans="13:14" x14ac:dyDescent="0.25">
      <c r="M597" s="51"/>
      <c r="N597" s="51"/>
    </row>
    <row r="598" spans="13:14" x14ac:dyDescent="0.25">
      <c r="M598" s="51"/>
      <c r="N598" s="51"/>
    </row>
    <row r="599" spans="13:14" x14ac:dyDescent="0.25">
      <c r="M599" s="51"/>
      <c r="N599" s="51"/>
    </row>
    <row r="600" spans="13:14" x14ac:dyDescent="0.25">
      <c r="M600" s="51"/>
      <c r="N600" s="51"/>
    </row>
    <row r="601" spans="13:14" x14ac:dyDescent="0.25">
      <c r="M601" s="51"/>
      <c r="N601" s="51"/>
    </row>
    <row r="602" spans="13:14" x14ac:dyDescent="0.25">
      <c r="M602" s="51"/>
      <c r="N602" s="51"/>
    </row>
    <row r="603" spans="13:14" x14ac:dyDescent="0.25">
      <c r="M603" s="51"/>
      <c r="N603" s="51"/>
    </row>
    <row r="604" spans="13:14" x14ac:dyDescent="0.25">
      <c r="M604" s="51"/>
      <c r="N604" s="51"/>
    </row>
    <row r="605" spans="13:14" x14ac:dyDescent="0.25">
      <c r="M605" s="51"/>
      <c r="N605" s="51"/>
    </row>
    <row r="606" spans="13:14" x14ac:dyDescent="0.25">
      <c r="M606" s="51"/>
      <c r="N606" s="51"/>
    </row>
    <row r="607" spans="13:14" x14ac:dyDescent="0.25">
      <c r="M607" s="51"/>
      <c r="N607" s="51"/>
    </row>
    <row r="608" spans="13:14" x14ac:dyDescent="0.25">
      <c r="M608" s="51"/>
      <c r="N608" s="51"/>
    </row>
    <row r="609" spans="13:14" x14ac:dyDescent="0.25">
      <c r="M609" s="51"/>
      <c r="N609" s="51"/>
    </row>
    <row r="610" spans="13:14" x14ac:dyDescent="0.25">
      <c r="M610" s="51"/>
      <c r="N610" s="51"/>
    </row>
    <row r="611" spans="13:14" x14ac:dyDescent="0.25">
      <c r="M611" s="51"/>
      <c r="N611" s="51"/>
    </row>
    <row r="612" spans="13:14" x14ac:dyDescent="0.25">
      <c r="M612" s="51"/>
      <c r="N612" s="51"/>
    </row>
    <row r="613" spans="13:14" x14ac:dyDescent="0.25">
      <c r="M613" s="51"/>
      <c r="N613" s="51"/>
    </row>
    <row r="614" spans="13:14" x14ac:dyDescent="0.25">
      <c r="M614" s="51"/>
      <c r="N614" s="51"/>
    </row>
    <row r="615" spans="13:14" x14ac:dyDescent="0.25">
      <c r="M615" s="51"/>
      <c r="N615" s="51"/>
    </row>
    <row r="616" spans="13:14" x14ac:dyDescent="0.25">
      <c r="M616" s="51"/>
      <c r="N616" s="51"/>
    </row>
    <row r="617" spans="13:14" x14ac:dyDescent="0.25">
      <c r="M617" s="51"/>
      <c r="N617" s="51"/>
    </row>
    <row r="618" spans="13:14" x14ac:dyDescent="0.25">
      <c r="M618" s="51"/>
      <c r="N618" s="51"/>
    </row>
    <row r="619" spans="13:14" x14ac:dyDescent="0.25">
      <c r="M619" s="51"/>
      <c r="N619" s="51"/>
    </row>
    <row r="620" spans="13:14" x14ac:dyDescent="0.25">
      <c r="M620" s="51"/>
      <c r="N620" s="51"/>
    </row>
    <row r="621" spans="13:14" x14ac:dyDescent="0.25">
      <c r="M621" s="51"/>
      <c r="N621" s="51"/>
    </row>
    <row r="622" spans="13:14" x14ac:dyDescent="0.25">
      <c r="M622" s="51"/>
      <c r="N622" s="51"/>
    </row>
    <row r="623" spans="13:14" x14ac:dyDescent="0.25">
      <c r="M623" s="51"/>
      <c r="N623" s="51"/>
    </row>
    <row r="624" spans="13:14" x14ac:dyDescent="0.25">
      <c r="M624" s="51"/>
      <c r="N624" s="51"/>
    </row>
    <row r="625" spans="13:14" x14ac:dyDescent="0.25">
      <c r="M625" s="51"/>
      <c r="N625" s="51"/>
    </row>
    <row r="626" spans="13:14" x14ac:dyDescent="0.25">
      <c r="M626" s="51"/>
      <c r="N626" s="51"/>
    </row>
    <row r="627" spans="13:14" x14ac:dyDescent="0.25">
      <c r="M627" s="51"/>
      <c r="N627" s="51"/>
    </row>
    <row r="628" spans="13:14" x14ac:dyDescent="0.25">
      <c r="M628" s="51"/>
      <c r="N628" s="51"/>
    </row>
    <row r="629" spans="13:14" x14ac:dyDescent="0.25">
      <c r="M629" s="51"/>
      <c r="N629" s="51"/>
    </row>
    <row r="630" spans="13:14" x14ac:dyDescent="0.25">
      <c r="M630" s="51"/>
      <c r="N630" s="51"/>
    </row>
    <row r="631" spans="13:14" x14ac:dyDescent="0.25">
      <c r="M631" s="51"/>
      <c r="N631" s="51"/>
    </row>
    <row r="632" spans="13:14" x14ac:dyDescent="0.25">
      <c r="M632" s="51"/>
      <c r="N632" s="51"/>
    </row>
    <row r="633" spans="13:14" x14ac:dyDescent="0.25">
      <c r="M633" s="51"/>
      <c r="N633" s="51"/>
    </row>
    <row r="634" spans="13:14" x14ac:dyDescent="0.25">
      <c r="M634" s="51"/>
      <c r="N634" s="51"/>
    </row>
    <row r="635" spans="13:14" x14ac:dyDescent="0.25">
      <c r="M635" s="51"/>
      <c r="N635" s="51"/>
    </row>
    <row r="636" spans="13:14" x14ac:dyDescent="0.25">
      <c r="M636" s="51"/>
      <c r="N636" s="51"/>
    </row>
    <row r="637" spans="13:14" x14ac:dyDescent="0.25">
      <c r="M637" s="51"/>
      <c r="N637" s="51"/>
    </row>
    <row r="638" spans="13:14" x14ac:dyDescent="0.25">
      <c r="M638" s="51"/>
      <c r="N638" s="51"/>
    </row>
    <row r="639" spans="13:14" x14ac:dyDescent="0.25">
      <c r="M639" s="51"/>
      <c r="N639" s="51"/>
    </row>
    <row r="640" spans="13:14" x14ac:dyDescent="0.25">
      <c r="M640" s="51"/>
      <c r="N640" s="51"/>
    </row>
    <row r="641" spans="13:14" x14ac:dyDescent="0.25">
      <c r="M641" s="51"/>
      <c r="N641" s="51"/>
    </row>
    <row r="642" spans="13:14" x14ac:dyDescent="0.25">
      <c r="M642" s="51"/>
      <c r="N642" s="51"/>
    </row>
    <row r="643" spans="13:14" x14ac:dyDescent="0.25">
      <c r="M643" s="51"/>
      <c r="N643" s="51"/>
    </row>
    <row r="644" spans="13:14" x14ac:dyDescent="0.25">
      <c r="M644" s="51"/>
      <c r="N644" s="51"/>
    </row>
    <row r="645" spans="13:14" x14ac:dyDescent="0.25">
      <c r="M645" s="51"/>
      <c r="N645" s="51"/>
    </row>
    <row r="646" spans="13:14" x14ac:dyDescent="0.25">
      <c r="M646" s="51"/>
      <c r="N646" s="51"/>
    </row>
    <row r="647" spans="13:14" x14ac:dyDescent="0.25">
      <c r="M647" s="51"/>
      <c r="N647" s="51"/>
    </row>
    <row r="648" spans="13:14" x14ac:dyDescent="0.25">
      <c r="M648" s="51"/>
      <c r="N648" s="51"/>
    </row>
    <row r="649" spans="13:14" x14ac:dyDescent="0.25">
      <c r="M649" s="51"/>
      <c r="N649" s="51"/>
    </row>
    <row r="650" spans="13:14" x14ac:dyDescent="0.25">
      <c r="M650" s="51"/>
      <c r="N650" s="51"/>
    </row>
    <row r="651" spans="13:14" x14ac:dyDescent="0.25">
      <c r="M651" s="51"/>
      <c r="N651" s="51"/>
    </row>
    <row r="652" spans="13:14" x14ac:dyDescent="0.25">
      <c r="M652" s="51"/>
      <c r="N652" s="51"/>
    </row>
    <row r="653" spans="13:14" x14ac:dyDescent="0.25">
      <c r="M653" s="51"/>
      <c r="N653" s="51"/>
    </row>
    <row r="654" spans="13:14" x14ac:dyDescent="0.25">
      <c r="M654" s="51"/>
      <c r="N654" s="51"/>
    </row>
    <row r="655" spans="13:14" x14ac:dyDescent="0.25">
      <c r="M655" s="51"/>
      <c r="N655" s="51"/>
    </row>
    <row r="656" spans="13:14" x14ac:dyDescent="0.25">
      <c r="M656" s="51"/>
      <c r="N656" s="51"/>
    </row>
    <row r="657" spans="13:14" x14ac:dyDescent="0.25">
      <c r="M657" s="51"/>
      <c r="N657" s="51"/>
    </row>
    <row r="658" spans="13:14" x14ac:dyDescent="0.25">
      <c r="M658" s="51"/>
      <c r="N658" s="51"/>
    </row>
    <row r="659" spans="13:14" x14ac:dyDescent="0.25">
      <c r="M659" s="51"/>
      <c r="N659" s="51"/>
    </row>
    <row r="660" spans="13:14" x14ac:dyDescent="0.25">
      <c r="M660" s="51"/>
      <c r="N660" s="51"/>
    </row>
    <row r="661" spans="13:14" x14ac:dyDescent="0.25">
      <c r="M661" s="51"/>
      <c r="N661" s="51"/>
    </row>
    <row r="662" spans="13:14" x14ac:dyDescent="0.25">
      <c r="M662" s="51"/>
      <c r="N662" s="51"/>
    </row>
    <row r="663" spans="13:14" x14ac:dyDescent="0.25">
      <c r="M663" s="51"/>
      <c r="N663" s="51"/>
    </row>
    <row r="664" spans="13:14" x14ac:dyDescent="0.25">
      <c r="M664" s="51"/>
      <c r="N664" s="51"/>
    </row>
    <row r="665" spans="13:14" x14ac:dyDescent="0.25">
      <c r="M665" s="51"/>
      <c r="N665" s="51"/>
    </row>
    <row r="666" spans="13:14" x14ac:dyDescent="0.25">
      <c r="M666" s="51"/>
      <c r="N666" s="51"/>
    </row>
    <row r="667" spans="13:14" x14ac:dyDescent="0.25">
      <c r="M667" s="51"/>
      <c r="N667" s="51"/>
    </row>
    <row r="668" spans="13:14" x14ac:dyDescent="0.25">
      <c r="M668" s="51"/>
      <c r="N668" s="51"/>
    </row>
    <row r="669" spans="13:14" x14ac:dyDescent="0.25">
      <c r="M669" s="51"/>
      <c r="N669" s="51"/>
    </row>
    <row r="670" spans="13:14" x14ac:dyDescent="0.25">
      <c r="M670" s="51"/>
      <c r="N670" s="51"/>
    </row>
    <row r="671" spans="13:14" x14ac:dyDescent="0.25">
      <c r="M671" s="51"/>
      <c r="N671" s="51"/>
    </row>
    <row r="672" spans="13:14" x14ac:dyDescent="0.25">
      <c r="M672" s="51"/>
      <c r="N672" s="51"/>
    </row>
    <row r="673" spans="13:14" x14ac:dyDescent="0.25">
      <c r="M673" s="51"/>
      <c r="N673" s="51"/>
    </row>
    <row r="674" spans="13:14" x14ac:dyDescent="0.25">
      <c r="M674" s="51"/>
      <c r="N674" s="51"/>
    </row>
    <row r="675" spans="13:14" x14ac:dyDescent="0.25">
      <c r="M675" s="51"/>
      <c r="N675" s="51"/>
    </row>
    <row r="676" spans="13:14" x14ac:dyDescent="0.25">
      <c r="M676" s="51"/>
      <c r="N676" s="51"/>
    </row>
    <row r="677" spans="13:14" x14ac:dyDescent="0.25">
      <c r="M677" s="51"/>
      <c r="N677" s="51"/>
    </row>
    <row r="678" spans="13:14" x14ac:dyDescent="0.25">
      <c r="M678" s="51"/>
      <c r="N678" s="51"/>
    </row>
    <row r="679" spans="13:14" x14ac:dyDescent="0.25">
      <c r="M679" s="51"/>
      <c r="N679" s="51"/>
    </row>
    <row r="680" spans="13:14" x14ac:dyDescent="0.25">
      <c r="M680" s="51"/>
      <c r="N680" s="51"/>
    </row>
    <row r="681" spans="13:14" x14ac:dyDescent="0.25">
      <c r="M681" s="51"/>
      <c r="N681" s="51"/>
    </row>
    <row r="682" spans="13:14" x14ac:dyDescent="0.25">
      <c r="M682" s="51"/>
      <c r="N682" s="51"/>
    </row>
    <row r="683" spans="13:14" x14ac:dyDescent="0.25">
      <c r="M683" s="51"/>
      <c r="N683" s="51"/>
    </row>
    <row r="684" spans="13:14" x14ac:dyDescent="0.25">
      <c r="M684" s="51"/>
      <c r="N684" s="51"/>
    </row>
    <row r="685" spans="13:14" x14ac:dyDescent="0.25">
      <c r="M685" s="51"/>
      <c r="N685" s="51"/>
    </row>
    <row r="686" spans="13:14" x14ac:dyDescent="0.25">
      <c r="M686" s="51"/>
      <c r="N686" s="51"/>
    </row>
    <row r="687" spans="13:14" x14ac:dyDescent="0.25">
      <c r="M687" s="51"/>
      <c r="N687" s="51"/>
    </row>
    <row r="688" spans="13:14" x14ac:dyDescent="0.25">
      <c r="M688" s="51"/>
      <c r="N688" s="51"/>
    </row>
    <row r="689" spans="13:14" x14ac:dyDescent="0.25">
      <c r="M689" s="51"/>
      <c r="N689" s="51"/>
    </row>
    <row r="690" spans="13:14" x14ac:dyDescent="0.25">
      <c r="M690" s="51"/>
      <c r="N690" s="51"/>
    </row>
    <row r="691" spans="13:14" x14ac:dyDescent="0.25">
      <c r="M691" s="51"/>
      <c r="N691" s="51"/>
    </row>
    <row r="692" spans="13:14" x14ac:dyDescent="0.25">
      <c r="M692" s="51"/>
      <c r="N692" s="51"/>
    </row>
    <row r="693" spans="13:14" x14ac:dyDescent="0.25">
      <c r="M693" s="51"/>
      <c r="N693" s="51"/>
    </row>
    <row r="694" spans="13:14" x14ac:dyDescent="0.25">
      <c r="M694" s="51"/>
      <c r="N694" s="51"/>
    </row>
    <row r="695" spans="13:14" x14ac:dyDescent="0.25">
      <c r="M695" s="51"/>
      <c r="N695" s="51"/>
    </row>
    <row r="696" spans="13:14" x14ac:dyDescent="0.25">
      <c r="M696" s="51"/>
      <c r="N696" s="51"/>
    </row>
    <row r="697" spans="13:14" x14ac:dyDescent="0.25">
      <c r="M697" s="51"/>
      <c r="N697" s="51"/>
    </row>
    <row r="698" spans="13:14" x14ac:dyDescent="0.25">
      <c r="M698" s="51"/>
      <c r="N698" s="51"/>
    </row>
    <row r="699" spans="13:14" x14ac:dyDescent="0.25">
      <c r="M699" s="51"/>
      <c r="N699" s="51"/>
    </row>
    <row r="700" spans="13:14" x14ac:dyDescent="0.25">
      <c r="M700" s="51"/>
      <c r="N700" s="51"/>
    </row>
    <row r="701" spans="13:14" x14ac:dyDescent="0.25">
      <c r="M701" s="51"/>
      <c r="N701" s="51"/>
    </row>
    <row r="702" spans="13:14" x14ac:dyDescent="0.25">
      <c r="M702" s="51"/>
      <c r="N702" s="51"/>
    </row>
    <row r="703" spans="13:14" x14ac:dyDescent="0.25">
      <c r="M703" s="51"/>
      <c r="N703" s="51"/>
    </row>
    <row r="704" spans="13:14" x14ac:dyDescent="0.25">
      <c r="M704" s="51"/>
      <c r="N704" s="51"/>
    </row>
    <row r="705" spans="13:14" x14ac:dyDescent="0.25">
      <c r="M705" s="51"/>
      <c r="N705" s="51"/>
    </row>
    <row r="706" spans="13:14" x14ac:dyDescent="0.25">
      <c r="M706" s="51"/>
      <c r="N706" s="51"/>
    </row>
    <row r="707" spans="13:14" x14ac:dyDescent="0.25">
      <c r="M707" s="51"/>
      <c r="N707" s="51"/>
    </row>
    <row r="708" spans="13:14" x14ac:dyDescent="0.25">
      <c r="M708" s="51"/>
      <c r="N708" s="51"/>
    </row>
    <row r="709" spans="13:14" x14ac:dyDescent="0.25">
      <c r="M709" s="51"/>
      <c r="N709" s="51"/>
    </row>
    <row r="710" spans="13:14" x14ac:dyDescent="0.25">
      <c r="M710" s="51"/>
      <c r="N710" s="51"/>
    </row>
    <row r="711" spans="13:14" x14ac:dyDescent="0.25">
      <c r="M711" s="51"/>
      <c r="N711" s="51"/>
    </row>
    <row r="712" spans="13:14" x14ac:dyDescent="0.25">
      <c r="M712" s="51"/>
      <c r="N712" s="51"/>
    </row>
    <row r="713" spans="13:14" x14ac:dyDescent="0.25">
      <c r="M713" s="51"/>
      <c r="N713" s="51"/>
    </row>
    <row r="714" spans="13:14" x14ac:dyDescent="0.25">
      <c r="M714" s="51"/>
      <c r="N714" s="51"/>
    </row>
    <row r="715" spans="13:14" x14ac:dyDescent="0.25">
      <c r="M715" s="51"/>
      <c r="N715" s="51"/>
    </row>
    <row r="716" spans="13:14" x14ac:dyDescent="0.25">
      <c r="M716" s="51"/>
      <c r="N716" s="51"/>
    </row>
    <row r="717" spans="13:14" x14ac:dyDescent="0.25">
      <c r="M717" s="51"/>
      <c r="N717" s="51"/>
    </row>
    <row r="718" spans="13:14" x14ac:dyDescent="0.25">
      <c r="M718" s="51"/>
      <c r="N718" s="51"/>
    </row>
    <row r="719" spans="13:14" x14ac:dyDescent="0.25">
      <c r="M719" s="51"/>
      <c r="N719" s="51"/>
    </row>
    <row r="720" spans="13:14" x14ac:dyDescent="0.25">
      <c r="M720" s="51"/>
      <c r="N720" s="51"/>
    </row>
    <row r="721" spans="13:14" x14ac:dyDescent="0.25">
      <c r="M721" s="51"/>
      <c r="N721" s="51"/>
    </row>
    <row r="722" spans="13:14" x14ac:dyDescent="0.25">
      <c r="M722" s="51"/>
      <c r="N722" s="51"/>
    </row>
    <row r="723" spans="13:14" x14ac:dyDescent="0.25">
      <c r="M723" s="51"/>
      <c r="N723" s="51"/>
    </row>
    <row r="724" spans="13:14" x14ac:dyDescent="0.25">
      <c r="M724" s="51"/>
      <c r="N724" s="51"/>
    </row>
    <row r="725" spans="13:14" x14ac:dyDescent="0.25">
      <c r="M725" s="51"/>
      <c r="N725" s="51"/>
    </row>
    <row r="726" spans="13:14" x14ac:dyDescent="0.25">
      <c r="M726" s="51"/>
      <c r="N726" s="51"/>
    </row>
    <row r="727" spans="13:14" x14ac:dyDescent="0.25">
      <c r="M727" s="51"/>
      <c r="N727" s="51"/>
    </row>
    <row r="728" spans="13:14" x14ac:dyDescent="0.25">
      <c r="M728" s="51"/>
      <c r="N728" s="51"/>
    </row>
    <row r="729" spans="13:14" x14ac:dyDescent="0.25">
      <c r="M729" s="51"/>
      <c r="N729" s="51"/>
    </row>
    <row r="730" spans="13:14" x14ac:dyDescent="0.25">
      <c r="M730" s="51"/>
      <c r="N730" s="51"/>
    </row>
    <row r="731" spans="13:14" x14ac:dyDescent="0.25">
      <c r="M731" s="51"/>
      <c r="N731" s="51"/>
    </row>
    <row r="732" spans="13:14" x14ac:dyDescent="0.25">
      <c r="M732" s="51"/>
      <c r="N732" s="51"/>
    </row>
    <row r="733" spans="13:14" x14ac:dyDescent="0.25">
      <c r="M733" s="51"/>
      <c r="N733" s="51"/>
    </row>
    <row r="734" spans="13:14" x14ac:dyDescent="0.25">
      <c r="M734" s="51"/>
      <c r="N734" s="51"/>
    </row>
    <row r="735" spans="13:14" x14ac:dyDescent="0.25">
      <c r="M735" s="51"/>
      <c r="N735" s="51"/>
    </row>
    <row r="736" spans="13:14" x14ac:dyDescent="0.25">
      <c r="M736" s="51"/>
      <c r="N736" s="51"/>
    </row>
    <row r="737" spans="13:14" x14ac:dyDescent="0.25">
      <c r="M737" s="51"/>
      <c r="N737" s="51"/>
    </row>
    <row r="738" spans="13:14" x14ac:dyDescent="0.25">
      <c r="M738" s="51"/>
      <c r="N738" s="51"/>
    </row>
    <row r="739" spans="13:14" x14ac:dyDescent="0.25">
      <c r="M739" s="51"/>
      <c r="N739" s="51"/>
    </row>
    <row r="740" spans="13:14" x14ac:dyDescent="0.25">
      <c r="M740" s="51"/>
      <c r="N740" s="51"/>
    </row>
    <row r="741" spans="13:14" x14ac:dyDescent="0.25">
      <c r="M741" s="51"/>
      <c r="N741" s="51"/>
    </row>
    <row r="742" spans="13:14" x14ac:dyDescent="0.25">
      <c r="M742" s="51"/>
      <c r="N742" s="51"/>
    </row>
    <row r="743" spans="13:14" x14ac:dyDescent="0.25">
      <c r="M743" s="51"/>
      <c r="N743" s="51"/>
    </row>
    <row r="744" spans="13:14" x14ac:dyDescent="0.25">
      <c r="M744" s="51"/>
      <c r="N744" s="51"/>
    </row>
    <row r="745" spans="13:14" x14ac:dyDescent="0.25">
      <c r="M745" s="51"/>
      <c r="N745" s="51"/>
    </row>
    <row r="746" spans="13:14" x14ac:dyDescent="0.25">
      <c r="M746" s="51"/>
      <c r="N746" s="51"/>
    </row>
    <row r="747" spans="13:14" x14ac:dyDescent="0.25">
      <c r="M747" s="51"/>
      <c r="N747" s="51"/>
    </row>
    <row r="748" spans="13:14" x14ac:dyDescent="0.25">
      <c r="M748" s="51"/>
      <c r="N748" s="51"/>
    </row>
    <row r="749" spans="13:14" x14ac:dyDescent="0.25">
      <c r="M749" s="51"/>
      <c r="N749" s="51"/>
    </row>
    <row r="750" spans="13:14" x14ac:dyDescent="0.25">
      <c r="M750" s="51"/>
      <c r="N750" s="51"/>
    </row>
    <row r="751" spans="13:14" x14ac:dyDescent="0.25">
      <c r="M751" s="51"/>
      <c r="N751" s="51"/>
    </row>
    <row r="752" spans="13:14" x14ac:dyDescent="0.25">
      <c r="M752" s="51"/>
      <c r="N752" s="51"/>
    </row>
    <row r="753" spans="13:14" x14ac:dyDescent="0.25">
      <c r="M753" s="51"/>
      <c r="N753" s="51"/>
    </row>
    <row r="754" spans="13:14" x14ac:dyDescent="0.25">
      <c r="M754" s="51"/>
      <c r="N754" s="51"/>
    </row>
    <row r="755" spans="13:14" x14ac:dyDescent="0.25">
      <c r="M755" s="51"/>
      <c r="N755" s="51"/>
    </row>
    <row r="756" spans="13:14" x14ac:dyDescent="0.25">
      <c r="M756" s="51"/>
      <c r="N756" s="51"/>
    </row>
    <row r="757" spans="13:14" x14ac:dyDescent="0.25">
      <c r="M757" s="51"/>
      <c r="N757" s="51"/>
    </row>
    <row r="758" spans="13:14" x14ac:dyDescent="0.25">
      <c r="M758" s="51"/>
      <c r="N758" s="51"/>
    </row>
    <row r="759" spans="13:14" x14ac:dyDescent="0.25">
      <c r="M759" s="51"/>
      <c r="N759" s="51"/>
    </row>
    <row r="760" spans="13:14" x14ac:dyDescent="0.25">
      <c r="M760" s="51"/>
      <c r="N760" s="51"/>
    </row>
    <row r="761" spans="13:14" x14ac:dyDescent="0.25">
      <c r="M761" s="51"/>
      <c r="N761" s="51"/>
    </row>
    <row r="762" spans="13:14" x14ac:dyDescent="0.25">
      <c r="M762" s="51"/>
      <c r="N762" s="51"/>
    </row>
    <row r="763" spans="13:14" x14ac:dyDescent="0.25">
      <c r="M763" s="51"/>
      <c r="N763" s="51"/>
    </row>
    <row r="764" spans="13:14" x14ac:dyDescent="0.25">
      <c r="M764" s="51"/>
      <c r="N764" s="51"/>
    </row>
    <row r="765" spans="13:14" x14ac:dyDescent="0.25">
      <c r="M765" s="51"/>
      <c r="N765" s="51"/>
    </row>
    <row r="766" spans="13:14" x14ac:dyDescent="0.25">
      <c r="M766" s="51"/>
      <c r="N766" s="51"/>
    </row>
    <row r="767" spans="13:14" x14ac:dyDescent="0.25">
      <c r="M767" s="51"/>
      <c r="N767" s="51"/>
    </row>
    <row r="768" spans="13:14" x14ac:dyDescent="0.25">
      <c r="M768" s="51"/>
      <c r="N768" s="51"/>
    </row>
    <row r="769" spans="13:14" x14ac:dyDescent="0.25">
      <c r="M769" s="51"/>
      <c r="N769" s="51"/>
    </row>
    <row r="770" spans="13:14" x14ac:dyDescent="0.25">
      <c r="M770" s="51"/>
      <c r="N770" s="51"/>
    </row>
    <row r="771" spans="13:14" x14ac:dyDescent="0.25">
      <c r="M771" s="51"/>
      <c r="N771" s="51"/>
    </row>
    <row r="772" spans="13:14" x14ac:dyDescent="0.25">
      <c r="M772" s="51"/>
      <c r="N772" s="51"/>
    </row>
    <row r="773" spans="13:14" x14ac:dyDescent="0.25">
      <c r="M773" s="51"/>
      <c r="N773" s="51"/>
    </row>
    <row r="774" spans="13:14" x14ac:dyDescent="0.25">
      <c r="M774" s="51"/>
      <c r="N774" s="51"/>
    </row>
    <row r="775" spans="13:14" x14ac:dyDescent="0.25">
      <c r="M775" s="51"/>
      <c r="N775" s="51"/>
    </row>
    <row r="776" spans="13:14" x14ac:dyDescent="0.25">
      <c r="M776" s="51"/>
      <c r="N776" s="51"/>
    </row>
    <row r="777" spans="13:14" x14ac:dyDescent="0.25">
      <c r="M777" s="51"/>
      <c r="N777" s="51"/>
    </row>
    <row r="778" spans="13:14" x14ac:dyDescent="0.25">
      <c r="M778" s="51"/>
      <c r="N778" s="51"/>
    </row>
    <row r="779" spans="13:14" x14ac:dyDescent="0.25">
      <c r="M779" s="51"/>
      <c r="N779" s="51"/>
    </row>
    <row r="780" spans="13:14" x14ac:dyDescent="0.25">
      <c r="M780" s="51"/>
      <c r="N780" s="51"/>
    </row>
    <row r="781" spans="13:14" x14ac:dyDescent="0.25">
      <c r="M781" s="51"/>
      <c r="N781" s="51"/>
    </row>
    <row r="782" spans="13:14" x14ac:dyDescent="0.25">
      <c r="M782" s="51"/>
      <c r="N782" s="51"/>
    </row>
    <row r="783" spans="13:14" x14ac:dyDescent="0.25">
      <c r="M783" s="51"/>
      <c r="N783" s="51"/>
    </row>
    <row r="784" spans="13:14" x14ac:dyDescent="0.25">
      <c r="M784" s="51"/>
      <c r="N784" s="51"/>
    </row>
    <row r="785" spans="13:14" x14ac:dyDescent="0.25">
      <c r="M785" s="51"/>
      <c r="N785" s="51"/>
    </row>
    <row r="786" spans="13:14" x14ac:dyDescent="0.25">
      <c r="M786" s="51"/>
      <c r="N786" s="51"/>
    </row>
    <row r="787" spans="13:14" x14ac:dyDescent="0.25">
      <c r="M787" s="51"/>
      <c r="N787" s="51"/>
    </row>
    <row r="788" spans="13:14" x14ac:dyDescent="0.25">
      <c r="M788" s="51"/>
      <c r="N788" s="51"/>
    </row>
    <row r="789" spans="13:14" x14ac:dyDescent="0.25">
      <c r="M789" s="51"/>
      <c r="N789" s="51"/>
    </row>
    <row r="790" spans="13:14" x14ac:dyDescent="0.25">
      <c r="M790" s="51"/>
      <c r="N790" s="51"/>
    </row>
    <row r="791" spans="13:14" x14ac:dyDescent="0.25">
      <c r="M791" s="51"/>
      <c r="N791" s="51"/>
    </row>
    <row r="792" spans="13:14" x14ac:dyDescent="0.25">
      <c r="M792" s="51"/>
      <c r="N792" s="51"/>
    </row>
    <row r="793" spans="13:14" x14ac:dyDescent="0.25">
      <c r="M793" s="51"/>
      <c r="N793" s="51"/>
    </row>
    <row r="794" spans="13:14" x14ac:dyDescent="0.25">
      <c r="M794" s="51"/>
      <c r="N794" s="51"/>
    </row>
    <row r="795" spans="13:14" x14ac:dyDescent="0.25">
      <c r="M795" s="51"/>
      <c r="N795" s="51"/>
    </row>
    <row r="796" spans="13:14" x14ac:dyDescent="0.25">
      <c r="M796" s="51"/>
      <c r="N796" s="51"/>
    </row>
    <row r="797" spans="13:14" x14ac:dyDescent="0.25">
      <c r="M797" s="51"/>
      <c r="N797" s="51"/>
    </row>
    <row r="798" spans="13:14" x14ac:dyDescent="0.25">
      <c r="M798" s="51"/>
      <c r="N798" s="51"/>
    </row>
    <row r="799" spans="13:14" x14ac:dyDescent="0.25">
      <c r="M799" s="51"/>
      <c r="N799" s="51"/>
    </row>
    <row r="800" spans="13:14" x14ac:dyDescent="0.25">
      <c r="M800" s="51"/>
      <c r="N800" s="51"/>
    </row>
    <row r="801" spans="13:14" x14ac:dyDescent="0.25">
      <c r="M801" s="51"/>
      <c r="N801" s="51"/>
    </row>
    <row r="802" spans="13:14" x14ac:dyDescent="0.25">
      <c r="M802" s="51"/>
      <c r="N802" s="51"/>
    </row>
    <row r="803" spans="13:14" x14ac:dyDescent="0.25">
      <c r="M803" s="51"/>
      <c r="N803" s="51"/>
    </row>
    <row r="804" spans="13:14" x14ac:dyDescent="0.25">
      <c r="M804" s="51"/>
      <c r="N804" s="51"/>
    </row>
    <row r="805" spans="13:14" x14ac:dyDescent="0.25">
      <c r="M805" s="51"/>
      <c r="N805" s="51"/>
    </row>
    <row r="806" spans="13:14" x14ac:dyDescent="0.25">
      <c r="M806" s="51"/>
      <c r="N806" s="51"/>
    </row>
    <row r="807" spans="13:14" x14ac:dyDescent="0.25">
      <c r="M807" s="51"/>
      <c r="N807" s="51"/>
    </row>
    <row r="808" spans="13:14" x14ac:dyDescent="0.25">
      <c r="M808" s="51"/>
      <c r="N808" s="51"/>
    </row>
    <row r="809" spans="13:14" x14ac:dyDescent="0.25">
      <c r="M809" s="51"/>
      <c r="N809" s="51"/>
    </row>
    <row r="810" spans="13:14" x14ac:dyDescent="0.25">
      <c r="M810" s="51"/>
      <c r="N810" s="51"/>
    </row>
    <row r="811" spans="13:14" x14ac:dyDescent="0.25">
      <c r="M811" s="51"/>
      <c r="N811" s="51"/>
    </row>
    <row r="812" spans="13:14" x14ac:dyDescent="0.25">
      <c r="M812" s="51"/>
      <c r="N812" s="51"/>
    </row>
    <row r="813" spans="13:14" x14ac:dyDescent="0.25">
      <c r="M813" s="51"/>
      <c r="N813" s="51"/>
    </row>
    <row r="814" spans="13:14" x14ac:dyDescent="0.25">
      <c r="M814" s="51"/>
      <c r="N814" s="51"/>
    </row>
    <row r="815" spans="13:14" x14ac:dyDescent="0.25">
      <c r="M815" s="51"/>
      <c r="N815" s="51"/>
    </row>
    <row r="816" spans="13:14" x14ac:dyDescent="0.25">
      <c r="M816" s="51"/>
      <c r="N816" s="51"/>
    </row>
    <row r="817" spans="13:14" x14ac:dyDescent="0.25">
      <c r="M817" s="51"/>
      <c r="N817" s="51"/>
    </row>
    <row r="818" spans="13:14" x14ac:dyDescent="0.25">
      <c r="M818" s="51"/>
      <c r="N818" s="51"/>
    </row>
    <row r="819" spans="13:14" x14ac:dyDescent="0.25">
      <c r="M819" s="51"/>
      <c r="N819" s="51"/>
    </row>
    <row r="820" spans="13:14" x14ac:dyDescent="0.25">
      <c r="M820" s="51"/>
      <c r="N820" s="51"/>
    </row>
    <row r="821" spans="13:14" x14ac:dyDescent="0.25">
      <c r="M821" s="51"/>
      <c r="N821" s="51"/>
    </row>
    <row r="822" spans="13:14" x14ac:dyDescent="0.25">
      <c r="M822" s="51"/>
      <c r="N822" s="51"/>
    </row>
    <row r="823" spans="13:14" x14ac:dyDescent="0.25">
      <c r="M823" s="51"/>
      <c r="N823" s="51"/>
    </row>
    <row r="824" spans="13:14" x14ac:dyDescent="0.25">
      <c r="M824" s="51"/>
      <c r="N824" s="51"/>
    </row>
    <row r="825" spans="13:14" x14ac:dyDescent="0.25">
      <c r="M825" s="51"/>
      <c r="N825" s="51"/>
    </row>
    <row r="826" spans="13:14" x14ac:dyDescent="0.25">
      <c r="M826" s="51"/>
      <c r="N826" s="51"/>
    </row>
    <row r="827" spans="13:14" x14ac:dyDescent="0.25">
      <c r="M827" s="51"/>
      <c r="N827" s="51"/>
    </row>
    <row r="828" spans="13:14" x14ac:dyDescent="0.25">
      <c r="M828" s="51"/>
      <c r="N828" s="51"/>
    </row>
    <row r="829" spans="13:14" x14ac:dyDescent="0.25">
      <c r="M829" s="51"/>
      <c r="N829" s="51"/>
    </row>
    <row r="830" spans="13:14" x14ac:dyDescent="0.25">
      <c r="M830" s="51"/>
      <c r="N830" s="51"/>
    </row>
    <row r="831" spans="13:14" x14ac:dyDescent="0.25">
      <c r="M831" s="51"/>
      <c r="N831" s="51"/>
    </row>
    <row r="832" spans="13:14" x14ac:dyDescent="0.25">
      <c r="M832" s="51"/>
      <c r="N832" s="51"/>
    </row>
    <row r="833" spans="13:14" x14ac:dyDescent="0.25">
      <c r="M833" s="51"/>
      <c r="N833" s="51"/>
    </row>
    <row r="834" spans="13:14" x14ac:dyDescent="0.25">
      <c r="M834" s="51"/>
      <c r="N834" s="51"/>
    </row>
    <row r="835" spans="13:14" x14ac:dyDescent="0.25">
      <c r="M835" s="51"/>
      <c r="N835" s="51"/>
    </row>
    <row r="836" spans="13:14" x14ac:dyDescent="0.25">
      <c r="M836" s="51"/>
      <c r="N836" s="51"/>
    </row>
    <row r="837" spans="13:14" x14ac:dyDescent="0.25">
      <c r="M837" s="51"/>
      <c r="N837" s="51"/>
    </row>
    <row r="838" spans="13:14" x14ac:dyDescent="0.25">
      <c r="M838" s="51"/>
      <c r="N838" s="51"/>
    </row>
    <row r="839" spans="13:14" x14ac:dyDescent="0.25">
      <c r="M839" s="51"/>
      <c r="N839" s="51"/>
    </row>
    <row r="840" spans="13:14" x14ac:dyDescent="0.25">
      <c r="M840" s="51"/>
      <c r="N840" s="51"/>
    </row>
    <row r="841" spans="13:14" x14ac:dyDescent="0.25">
      <c r="M841" s="51"/>
      <c r="N841" s="51"/>
    </row>
    <row r="842" spans="13:14" x14ac:dyDescent="0.25">
      <c r="M842" s="51"/>
      <c r="N842" s="51"/>
    </row>
    <row r="843" spans="13:14" x14ac:dyDescent="0.25">
      <c r="M843" s="51"/>
      <c r="N843" s="51"/>
    </row>
    <row r="844" spans="13:14" x14ac:dyDescent="0.25">
      <c r="M844" s="51"/>
      <c r="N844" s="51"/>
    </row>
    <row r="845" spans="13:14" x14ac:dyDescent="0.25">
      <c r="M845" s="51"/>
      <c r="N845" s="51"/>
    </row>
    <row r="846" spans="13:14" x14ac:dyDescent="0.25">
      <c r="M846" s="51"/>
      <c r="N846" s="51"/>
    </row>
    <row r="847" spans="13:14" x14ac:dyDescent="0.25">
      <c r="M847" s="51"/>
      <c r="N847" s="51"/>
    </row>
    <row r="848" spans="13:14" x14ac:dyDescent="0.25">
      <c r="M848" s="51"/>
      <c r="N848" s="51"/>
    </row>
    <row r="849" spans="13:14" x14ac:dyDescent="0.25">
      <c r="M849" s="51"/>
      <c r="N849" s="51"/>
    </row>
    <row r="850" spans="13:14" x14ac:dyDescent="0.25">
      <c r="M850" s="51"/>
      <c r="N850" s="51"/>
    </row>
    <row r="851" spans="13:14" x14ac:dyDescent="0.25">
      <c r="M851" s="51"/>
      <c r="N851" s="51"/>
    </row>
    <row r="852" spans="13:14" x14ac:dyDescent="0.25">
      <c r="M852" s="51"/>
      <c r="N852" s="51"/>
    </row>
    <row r="853" spans="13:14" x14ac:dyDescent="0.25">
      <c r="M853" s="51"/>
      <c r="N853" s="51"/>
    </row>
    <row r="854" spans="13:14" x14ac:dyDescent="0.25">
      <c r="M854" s="51"/>
      <c r="N854" s="51"/>
    </row>
    <row r="855" spans="13:14" x14ac:dyDescent="0.25">
      <c r="M855" s="51"/>
      <c r="N855" s="51"/>
    </row>
    <row r="856" spans="13:14" x14ac:dyDescent="0.25">
      <c r="M856" s="51"/>
      <c r="N856" s="51"/>
    </row>
    <row r="857" spans="13:14" x14ac:dyDescent="0.25">
      <c r="M857" s="51"/>
      <c r="N857" s="51"/>
    </row>
    <row r="858" spans="13:14" x14ac:dyDescent="0.25">
      <c r="M858" s="51"/>
      <c r="N858" s="51"/>
    </row>
    <row r="859" spans="13:14" x14ac:dyDescent="0.25">
      <c r="M859" s="51"/>
      <c r="N859" s="51"/>
    </row>
    <row r="860" spans="13:14" x14ac:dyDescent="0.25">
      <c r="M860" s="51"/>
      <c r="N860" s="51"/>
    </row>
    <row r="861" spans="13:14" x14ac:dyDescent="0.25">
      <c r="M861" s="51"/>
      <c r="N861" s="51"/>
    </row>
    <row r="862" spans="13:14" x14ac:dyDescent="0.25">
      <c r="M862" s="51"/>
      <c r="N862" s="51"/>
    </row>
    <row r="863" spans="13:14" x14ac:dyDescent="0.25">
      <c r="M863" s="51"/>
      <c r="N863" s="51"/>
    </row>
    <row r="864" spans="13:14" x14ac:dyDescent="0.25">
      <c r="M864" s="51"/>
      <c r="N864" s="51"/>
    </row>
    <row r="865" spans="13:14" x14ac:dyDescent="0.25">
      <c r="M865" s="51"/>
      <c r="N865" s="51"/>
    </row>
    <row r="866" spans="13:14" x14ac:dyDescent="0.25">
      <c r="M866" s="51"/>
      <c r="N866" s="51"/>
    </row>
    <row r="867" spans="13:14" x14ac:dyDescent="0.25">
      <c r="M867" s="51"/>
      <c r="N867" s="51"/>
    </row>
    <row r="868" spans="13:14" x14ac:dyDescent="0.25">
      <c r="M868" s="51"/>
      <c r="N868" s="51"/>
    </row>
    <row r="869" spans="13:14" x14ac:dyDescent="0.25">
      <c r="M869" s="51"/>
      <c r="N869" s="51"/>
    </row>
    <row r="870" spans="13:14" x14ac:dyDescent="0.25">
      <c r="M870" s="51"/>
      <c r="N870" s="51"/>
    </row>
    <row r="871" spans="13:14" x14ac:dyDescent="0.25">
      <c r="M871" s="51"/>
      <c r="N871" s="51"/>
    </row>
    <row r="872" spans="13:14" x14ac:dyDescent="0.25">
      <c r="M872" s="51"/>
      <c r="N872" s="51"/>
    </row>
    <row r="873" spans="13:14" x14ac:dyDescent="0.25">
      <c r="M873" s="51"/>
      <c r="N873" s="51"/>
    </row>
    <row r="874" spans="13:14" x14ac:dyDescent="0.25">
      <c r="M874" s="51"/>
      <c r="N874" s="51"/>
    </row>
    <row r="875" spans="13:14" x14ac:dyDescent="0.25">
      <c r="M875" s="51"/>
      <c r="N875" s="51"/>
    </row>
    <row r="876" spans="13:14" x14ac:dyDescent="0.25">
      <c r="M876" s="51"/>
      <c r="N876" s="51"/>
    </row>
    <row r="877" spans="13:14" x14ac:dyDescent="0.25">
      <c r="M877" s="51"/>
      <c r="N877" s="51"/>
    </row>
    <row r="878" spans="13:14" x14ac:dyDescent="0.25">
      <c r="M878" s="51"/>
      <c r="N878" s="51"/>
    </row>
    <row r="879" spans="13:14" x14ac:dyDescent="0.25">
      <c r="M879" s="51"/>
      <c r="N879" s="51"/>
    </row>
    <row r="880" spans="13:14" x14ac:dyDescent="0.25">
      <c r="M880" s="51"/>
      <c r="N880" s="51"/>
    </row>
    <row r="881" spans="13:14" x14ac:dyDescent="0.25">
      <c r="M881" s="51"/>
      <c r="N881" s="51"/>
    </row>
    <row r="882" spans="13:14" x14ac:dyDescent="0.25">
      <c r="M882" s="51"/>
      <c r="N882" s="51"/>
    </row>
    <row r="883" spans="13:14" x14ac:dyDescent="0.25">
      <c r="M883" s="51"/>
      <c r="N883" s="51"/>
    </row>
    <row r="884" spans="13:14" x14ac:dyDescent="0.25">
      <c r="M884" s="51"/>
      <c r="N884" s="51"/>
    </row>
    <row r="885" spans="13:14" x14ac:dyDescent="0.25">
      <c r="M885" s="51"/>
      <c r="N885" s="51"/>
    </row>
    <row r="886" spans="13:14" x14ac:dyDescent="0.25">
      <c r="M886" s="51"/>
      <c r="N886" s="51"/>
    </row>
    <row r="887" spans="13:14" x14ac:dyDescent="0.25">
      <c r="M887" s="51"/>
      <c r="N887" s="51"/>
    </row>
    <row r="888" spans="13:14" x14ac:dyDescent="0.25">
      <c r="M888" s="51"/>
      <c r="N888" s="51"/>
    </row>
    <row r="889" spans="13:14" x14ac:dyDescent="0.25">
      <c r="M889" s="51"/>
      <c r="N889" s="51"/>
    </row>
    <row r="890" spans="13:14" x14ac:dyDescent="0.25">
      <c r="M890" s="51"/>
      <c r="N890" s="51"/>
    </row>
    <row r="891" spans="13:14" x14ac:dyDescent="0.25">
      <c r="M891" s="51"/>
      <c r="N891" s="51"/>
    </row>
    <row r="892" spans="13:14" x14ac:dyDescent="0.25">
      <c r="M892" s="51"/>
      <c r="N892" s="51"/>
    </row>
    <row r="893" spans="13:14" x14ac:dyDescent="0.25">
      <c r="M893" s="51"/>
      <c r="N893" s="51"/>
    </row>
    <row r="894" spans="13:14" x14ac:dyDescent="0.25">
      <c r="M894" s="51"/>
      <c r="N894" s="51"/>
    </row>
    <row r="895" spans="13:14" x14ac:dyDescent="0.25">
      <c r="M895" s="51"/>
      <c r="N895" s="51"/>
    </row>
    <row r="896" spans="13:14" x14ac:dyDescent="0.25">
      <c r="M896" s="51"/>
      <c r="N896" s="51"/>
    </row>
    <row r="897" spans="13:14" x14ac:dyDescent="0.25">
      <c r="M897" s="51"/>
      <c r="N897" s="51"/>
    </row>
    <row r="898" spans="13:14" x14ac:dyDescent="0.25">
      <c r="M898" s="51"/>
      <c r="N898" s="51"/>
    </row>
    <row r="899" spans="13:14" x14ac:dyDescent="0.25">
      <c r="M899" s="51"/>
      <c r="N899" s="51"/>
    </row>
    <row r="900" spans="13:14" x14ac:dyDescent="0.25">
      <c r="M900" s="51"/>
      <c r="N900" s="51"/>
    </row>
    <row r="901" spans="13:14" x14ac:dyDescent="0.25">
      <c r="M901" s="51"/>
      <c r="N901" s="51"/>
    </row>
    <row r="902" spans="13:14" x14ac:dyDescent="0.25">
      <c r="M902" s="51"/>
      <c r="N902" s="51"/>
    </row>
    <row r="903" spans="13:14" x14ac:dyDescent="0.25">
      <c r="M903" s="51"/>
      <c r="N903" s="51"/>
    </row>
    <row r="904" spans="13:14" x14ac:dyDescent="0.25">
      <c r="M904" s="51"/>
      <c r="N904" s="51"/>
    </row>
    <row r="905" spans="13:14" x14ac:dyDescent="0.25">
      <c r="M905" s="51"/>
      <c r="N905" s="51"/>
    </row>
    <row r="906" spans="13:14" x14ac:dyDescent="0.25">
      <c r="M906" s="51"/>
      <c r="N906" s="51"/>
    </row>
    <row r="907" spans="13:14" x14ac:dyDescent="0.25">
      <c r="M907" s="51"/>
      <c r="N907" s="51"/>
    </row>
    <row r="908" spans="13:14" x14ac:dyDescent="0.25">
      <c r="M908" s="51"/>
      <c r="N908" s="51"/>
    </row>
    <row r="909" spans="13:14" x14ac:dyDescent="0.25">
      <c r="M909" s="51"/>
      <c r="N909" s="51"/>
    </row>
    <row r="910" spans="13:14" x14ac:dyDescent="0.25">
      <c r="M910" s="51"/>
      <c r="N910" s="51"/>
    </row>
    <row r="911" spans="13:14" x14ac:dyDescent="0.25">
      <c r="M911" s="51"/>
      <c r="N911" s="51"/>
    </row>
    <row r="912" spans="13:14" x14ac:dyDescent="0.25">
      <c r="M912" s="51"/>
      <c r="N912" s="51"/>
    </row>
    <row r="913" spans="13:14" x14ac:dyDescent="0.25">
      <c r="M913" s="51"/>
      <c r="N913" s="51"/>
    </row>
    <row r="914" spans="13:14" x14ac:dyDescent="0.25">
      <c r="M914" s="51"/>
      <c r="N914" s="51"/>
    </row>
    <row r="915" spans="13:14" x14ac:dyDescent="0.25">
      <c r="M915" s="51"/>
      <c r="N915" s="51"/>
    </row>
    <row r="916" spans="13:14" x14ac:dyDescent="0.25">
      <c r="M916" s="51"/>
      <c r="N916" s="51"/>
    </row>
    <row r="917" spans="13:14" x14ac:dyDescent="0.25">
      <c r="M917" s="51"/>
      <c r="N917" s="51"/>
    </row>
    <row r="918" spans="13:14" x14ac:dyDescent="0.25">
      <c r="M918" s="51"/>
      <c r="N918" s="51"/>
    </row>
    <row r="919" spans="13:14" x14ac:dyDescent="0.25">
      <c r="M919" s="51"/>
      <c r="N919" s="51"/>
    </row>
    <row r="920" spans="13:14" x14ac:dyDescent="0.25">
      <c r="M920" s="51"/>
      <c r="N920" s="51"/>
    </row>
    <row r="921" spans="13:14" x14ac:dyDescent="0.25">
      <c r="M921" s="51"/>
      <c r="N921" s="51"/>
    </row>
    <row r="922" spans="13:14" x14ac:dyDescent="0.25">
      <c r="M922" s="51"/>
      <c r="N922" s="51"/>
    </row>
    <row r="923" spans="13:14" x14ac:dyDescent="0.25">
      <c r="M923" s="51"/>
      <c r="N923" s="51"/>
    </row>
    <row r="924" spans="13:14" x14ac:dyDescent="0.25">
      <c r="M924" s="51"/>
      <c r="N924" s="51"/>
    </row>
    <row r="925" spans="13:14" x14ac:dyDescent="0.25">
      <c r="M925" s="51"/>
      <c r="N925" s="51"/>
    </row>
    <row r="926" spans="13:14" x14ac:dyDescent="0.25">
      <c r="M926" s="51"/>
      <c r="N926" s="51"/>
    </row>
    <row r="927" spans="13:14" x14ac:dyDescent="0.25">
      <c r="M927" s="51"/>
      <c r="N927" s="51"/>
    </row>
    <row r="928" spans="13:14" x14ac:dyDescent="0.25">
      <c r="M928" s="51"/>
      <c r="N928" s="51"/>
    </row>
    <row r="929" spans="13:14" x14ac:dyDescent="0.25">
      <c r="M929" s="51"/>
      <c r="N929" s="51"/>
    </row>
    <row r="930" spans="13:14" x14ac:dyDescent="0.25">
      <c r="M930" s="51"/>
      <c r="N930" s="51"/>
    </row>
    <row r="931" spans="13:14" x14ac:dyDescent="0.25">
      <c r="M931" s="51"/>
      <c r="N931" s="51"/>
    </row>
    <row r="932" spans="13:14" x14ac:dyDescent="0.25">
      <c r="M932" s="51"/>
      <c r="N932" s="51"/>
    </row>
    <row r="933" spans="13:14" x14ac:dyDescent="0.25">
      <c r="M933" s="51"/>
      <c r="N933" s="51"/>
    </row>
    <row r="934" spans="13:14" x14ac:dyDescent="0.25">
      <c r="M934" s="51"/>
      <c r="N934" s="51"/>
    </row>
    <row r="935" spans="13:14" x14ac:dyDescent="0.25">
      <c r="M935" s="51"/>
      <c r="N935" s="51"/>
    </row>
    <row r="936" spans="13:14" x14ac:dyDescent="0.25">
      <c r="M936" s="51"/>
      <c r="N936" s="51"/>
    </row>
    <row r="937" spans="13:14" x14ac:dyDescent="0.25">
      <c r="M937" s="51"/>
      <c r="N937" s="51"/>
    </row>
    <row r="938" spans="13:14" x14ac:dyDescent="0.25">
      <c r="M938" s="51"/>
      <c r="N938" s="51"/>
    </row>
    <row r="939" spans="13:14" x14ac:dyDescent="0.25">
      <c r="M939" s="51"/>
      <c r="N939" s="51"/>
    </row>
    <row r="940" spans="13:14" x14ac:dyDescent="0.25">
      <c r="M940" s="51"/>
      <c r="N940" s="51"/>
    </row>
    <row r="941" spans="13:14" x14ac:dyDescent="0.25">
      <c r="M941" s="51"/>
      <c r="N941" s="51"/>
    </row>
    <row r="942" spans="13:14" x14ac:dyDescent="0.25">
      <c r="M942" s="51"/>
      <c r="N942" s="51"/>
    </row>
    <row r="943" spans="13:14" x14ac:dyDescent="0.25">
      <c r="M943" s="51"/>
      <c r="N943" s="51"/>
    </row>
    <row r="944" spans="13:14" x14ac:dyDescent="0.25">
      <c r="M944" s="51"/>
      <c r="N944" s="51"/>
    </row>
    <row r="945" spans="13:14" x14ac:dyDescent="0.25">
      <c r="M945" s="51"/>
      <c r="N945" s="51"/>
    </row>
    <row r="946" spans="13:14" x14ac:dyDescent="0.25">
      <c r="M946" s="51"/>
      <c r="N946" s="51"/>
    </row>
    <row r="947" spans="13:14" x14ac:dyDescent="0.25">
      <c r="M947" s="51"/>
      <c r="N947" s="51"/>
    </row>
    <row r="948" spans="13:14" x14ac:dyDescent="0.25">
      <c r="M948" s="51"/>
      <c r="N948" s="51"/>
    </row>
    <row r="949" spans="13:14" x14ac:dyDescent="0.25">
      <c r="M949" s="51"/>
      <c r="N949" s="51"/>
    </row>
    <row r="950" spans="13:14" x14ac:dyDescent="0.25">
      <c r="M950" s="51"/>
      <c r="N950" s="51"/>
    </row>
    <row r="951" spans="13:14" x14ac:dyDescent="0.25">
      <c r="M951" s="51"/>
      <c r="N951" s="51"/>
    </row>
    <row r="952" spans="13:14" x14ac:dyDescent="0.25">
      <c r="M952" s="51"/>
      <c r="N952" s="51"/>
    </row>
    <row r="953" spans="13:14" x14ac:dyDescent="0.25">
      <c r="M953" s="51"/>
      <c r="N953" s="51"/>
    </row>
    <row r="954" spans="13:14" x14ac:dyDescent="0.25">
      <c r="M954" s="51"/>
      <c r="N954" s="51"/>
    </row>
    <row r="955" spans="13:14" x14ac:dyDescent="0.25">
      <c r="M955" s="51"/>
      <c r="N955" s="51"/>
    </row>
    <row r="956" spans="13:14" x14ac:dyDescent="0.25">
      <c r="M956" s="51"/>
      <c r="N956" s="51"/>
    </row>
    <row r="957" spans="13:14" x14ac:dyDescent="0.25">
      <c r="M957" s="51"/>
      <c r="N957" s="51"/>
    </row>
    <row r="958" spans="13:14" x14ac:dyDescent="0.25">
      <c r="M958" s="51"/>
      <c r="N958" s="51"/>
    </row>
    <row r="959" spans="13:14" x14ac:dyDescent="0.25">
      <c r="M959" s="51"/>
      <c r="N959" s="51"/>
    </row>
    <row r="960" spans="13:14" x14ac:dyDescent="0.25">
      <c r="M960" s="51"/>
      <c r="N960" s="51"/>
    </row>
    <row r="961" spans="13:14" x14ac:dyDescent="0.25">
      <c r="M961" s="51"/>
      <c r="N961" s="51"/>
    </row>
    <row r="962" spans="13:14" x14ac:dyDescent="0.25">
      <c r="M962" s="51"/>
      <c r="N962" s="51"/>
    </row>
    <row r="963" spans="13:14" x14ac:dyDescent="0.25">
      <c r="M963" s="51"/>
      <c r="N963" s="51"/>
    </row>
    <row r="964" spans="13:14" x14ac:dyDescent="0.25">
      <c r="M964" s="51"/>
      <c r="N964" s="51"/>
    </row>
    <row r="965" spans="13:14" x14ac:dyDescent="0.25">
      <c r="M965" s="51"/>
      <c r="N965" s="51"/>
    </row>
    <row r="966" spans="13:14" x14ac:dyDescent="0.25">
      <c r="M966" s="51"/>
      <c r="N966" s="51"/>
    </row>
    <row r="967" spans="13:14" x14ac:dyDescent="0.25">
      <c r="M967" s="51"/>
      <c r="N967" s="51"/>
    </row>
    <row r="968" spans="13:14" x14ac:dyDescent="0.25">
      <c r="M968" s="51"/>
      <c r="N968" s="51"/>
    </row>
    <row r="969" spans="13:14" x14ac:dyDescent="0.25">
      <c r="M969" s="51"/>
      <c r="N969" s="51"/>
    </row>
    <row r="970" spans="13:14" x14ac:dyDescent="0.25">
      <c r="M970" s="51"/>
      <c r="N970" s="51"/>
    </row>
    <row r="971" spans="13:14" x14ac:dyDescent="0.25">
      <c r="M971" s="51"/>
      <c r="N971" s="51"/>
    </row>
    <row r="972" spans="13:14" x14ac:dyDescent="0.25">
      <c r="M972" s="51"/>
      <c r="N972" s="51"/>
    </row>
    <row r="973" spans="13:14" x14ac:dyDescent="0.25">
      <c r="M973" s="51"/>
      <c r="N973" s="51"/>
    </row>
    <row r="974" spans="13:14" x14ac:dyDescent="0.25">
      <c r="M974" s="51"/>
      <c r="N974" s="51"/>
    </row>
    <row r="975" spans="13:14" x14ac:dyDescent="0.25">
      <c r="M975" s="51"/>
      <c r="N975" s="51"/>
    </row>
    <row r="976" spans="13:14" x14ac:dyDescent="0.25">
      <c r="M976" s="51"/>
      <c r="N976" s="51"/>
    </row>
    <row r="977" spans="13:14" x14ac:dyDescent="0.25">
      <c r="M977" s="51"/>
      <c r="N977" s="51"/>
    </row>
    <row r="978" spans="13:14" x14ac:dyDescent="0.25">
      <c r="M978" s="51"/>
      <c r="N978" s="51"/>
    </row>
    <row r="979" spans="13:14" x14ac:dyDescent="0.25">
      <c r="M979" s="51"/>
      <c r="N979" s="51"/>
    </row>
    <row r="980" spans="13:14" x14ac:dyDescent="0.25">
      <c r="M980" s="51"/>
      <c r="N980" s="51"/>
    </row>
    <row r="981" spans="13:14" x14ac:dyDescent="0.25">
      <c r="M981" s="51"/>
      <c r="N981" s="51"/>
    </row>
    <row r="982" spans="13:14" x14ac:dyDescent="0.25">
      <c r="M982" s="51"/>
      <c r="N982" s="51"/>
    </row>
    <row r="983" spans="13:14" x14ac:dyDescent="0.25">
      <c r="M983" s="51"/>
      <c r="N983" s="51"/>
    </row>
    <row r="984" spans="13:14" x14ac:dyDescent="0.25">
      <c r="M984" s="51"/>
      <c r="N984" s="51"/>
    </row>
    <row r="985" spans="13:14" x14ac:dyDescent="0.25">
      <c r="M985" s="51"/>
      <c r="N985" s="51"/>
    </row>
    <row r="986" spans="13:14" x14ac:dyDescent="0.25">
      <c r="M986" s="51"/>
      <c r="N986" s="51"/>
    </row>
    <row r="987" spans="13:14" x14ac:dyDescent="0.25">
      <c r="M987" s="51"/>
      <c r="N987" s="51"/>
    </row>
    <row r="988" spans="13:14" x14ac:dyDescent="0.25">
      <c r="M988" s="51"/>
      <c r="N988" s="51"/>
    </row>
    <row r="989" spans="13:14" x14ac:dyDescent="0.25">
      <c r="M989" s="51"/>
      <c r="N989" s="51"/>
    </row>
    <row r="990" spans="13:14" x14ac:dyDescent="0.25">
      <c r="M990" s="51"/>
      <c r="N990" s="51"/>
    </row>
    <row r="991" spans="13:14" x14ac:dyDescent="0.25">
      <c r="M991" s="51"/>
      <c r="N991" s="51"/>
    </row>
    <row r="992" spans="13:14" x14ac:dyDescent="0.25">
      <c r="M992" s="51"/>
      <c r="N992" s="51"/>
    </row>
    <row r="993" spans="13:14" x14ac:dyDescent="0.25">
      <c r="M993" s="51"/>
      <c r="N993" s="51"/>
    </row>
    <row r="994" spans="13:14" x14ac:dyDescent="0.25">
      <c r="M994" s="51"/>
      <c r="N994" s="51"/>
    </row>
    <row r="995" spans="13:14" x14ac:dyDescent="0.25">
      <c r="M995" s="51"/>
      <c r="N995" s="51"/>
    </row>
    <row r="996" spans="13:14" x14ac:dyDescent="0.25">
      <c r="M996" s="51"/>
      <c r="N996" s="51"/>
    </row>
    <row r="997" spans="13:14" x14ac:dyDescent="0.25">
      <c r="M997" s="51"/>
      <c r="N997" s="51"/>
    </row>
    <row r="998" spans="13:14" x14ac:dyDescent="0.25">
      <c r="M998" s="51"/>
      <c r="N998" s="51"/>
    </row>
    <row r="999" spans="13:14" x14ac:dyDescent="0.25">
      <c r="M999" s="51"/>
      <c r="N999" s="51"/>
    </row>
    <row r="1000" spans="13:14" x14ac:dyDescent="0.25">
      <c r="M1000" s="51"/>
      <c r="N1000" s="51"/>
    </row>
    <row r="1001" spans="13:14" x14ac:dyDescent="0.25">
      <c r="M1001" s="51"/>
      <c r="N1001" s="51"/>
    </row>
    <row r="1002" spans="13:14" x14ac:dyDescent="0.25">
      <c r="M1002" s="51"/>
      <c r="N1002" s="51"/>
    </row>
    <row r="1003" spans="13:14" x14ac:dyDescent="0.25">
      <c r="M1003" s="51"/>
      <c r="N1003" s="51"/>
    </row>
    <row r="1004" spans="13:14" x14ac:dyDescent="0.25">
      <c r="M1004" s="51"/>
      <c r="N1004" s="51"/>
    </row>
    <row r="1005" spans="13:14" x14ac:dyDescent="0.25">
      <c r="M1005" s="51"/>
      <c r="N1005" s="51"/>
    </row>
    <row r="1006" spans="13:14" x14ac:dyDescent="0.25">
      <c r="M1006" s="51"/>
      <c r="N1006" s="51"/>
    </row>
    <row r="1007" spans="13:14" x14ac:dyDescent="0.25">
      <c r="M1007" s="51"/>
      <c r="N1007" s="51"/>
    </row>
    <row r="1008" spans="13:14" x14ac:dyDescent="0.25">
      <c r="M1008" s="51"/>
      <c r="N1008" s="51"/>
    </row>
    <row r="1009" spans="13:14" x14ac:dyDescent="0.25">
      <c r="M1009" s="51"/>
      <c r="N1009" s="51"/>
    </row>
    <row r="1010" spans="13:14" x14ac:dyDescent="0.25">
      <c r="M1010" s="51"/>
      <c r="N1010" s="51"/>
    </row>
    <row r="1011" spans="13:14" x14ac:dyDescent="0.25">
      <c r="M1011" s="51"/>
      <c r="N1011" s="51"/>
    </row>
    <row r="1012" spans="13:14" x14ac:dyDescent="0.25">
      <c r="M1012" s="51"/>
      <c r="N1012" s="51"/>
    </row>
    <row r="1013" spans="13:14" x14ac:dyDescent="0.25">
      <c r="M1013" s="51"/>
      <c r="N1013" s="51"/>
    </row>
    <row r="1014" spans="13:14" x14ac:dyDescent="0.25">
      <c r="M1014" s="51"/>
      <c r="N1014" s="51"/>
    </row>
    <row r="1015" spans="13:14" x14ac:dyDescent="0.25">
      <c r="M1015" s="51"/>
      <c r="N1015" s="51"/>
    </row>
    <row r="1016" spans="13:14" x14ac:dyDescent="0.25">
      <c r="M1016" s="51"/>
      <c r="N1016" s="51"/>
    </row>
    <row r="1017" spans="13:14" x14ac:dyDescent="0.25">
      <c r="M1017" s="51"/>
      <c r="N1017" s="51"/>
    </row>
    <row r="1018" spans="13:14" x14ac:dyDescent="0.25">
      <c r="M1018" s="51"/>
      <c r="N1018" s="51"/>
    </row>
    <row r="1019" spans="13:14" x14ac:dyDescent="0.25">
      <c r="M1019" s="51"/>
      <c r="N1019" s="51"/>
    </row>
    <row r="1020" spans="13:14" x14ac:dyDescent="0.25">
      <c r="M1020" s="51"/>
      <c r="N1020" s="51"/>
    </row>
    <row r="1021" spans="13:14" x14ac:dyDescent="0.25">
      <c r="M1021" s="51"/>
      <c r="N1021" s="51"/>
    </row>
    <row r="1022" spans="13:14" x14ac:dyDescent="0.25">
      <c r="M1022" s="51"/>
      <c r="N1022" s="51"/>
    </row>
    <row r="1023" spans="13:14" x14ac:dyDescent="0.25">
      <c r="M1023" s="51"/>
      <c r="N1023" s="51"/>
    </row>
    <row r="1024" spans="13:14" x14ac:dyDescent="0.25">
      <c r="M1024" s="51"/>
      <c r="N1024" s="51"/>
    </row>
    <row r="1025" spans="13:14" x14ac:dyDescent="0.25">
      <c r="M1025" s="51"/>
      <c r="N1025" s="51"/>
    </row>
    <row r="1026" spans="13:14" x14ac:dyDescent="0.25">
      <c r="M1026" s="51"/>
      <c r="N1026" s="51"/>
    </row>
    <row r="1027" spans="13:14" x14ac:dyDescent="0.25">
      <c r="M1027" s="51"/>
      <c r="N1027" s="51"/>
    </row>
    <row r="1028" spans="13:14" x14ac:dyDescent="0.25">
      <c r="M1028" s="51"/>
      <c r="N1028" s="51"/>
    </row>
    <row r="1029" spans="13:14" x14ac:dyDescent="0.25">
      <c r="M1029" s="51"/>
      <c r="N1029" s="51"/>
    </row>
    <row r="1030" spans="13:14" x14ac:dyDescent="0.25">
      <c r="M1030" s="51"/>
      <c r="N1030" s="51"/>
    </row>
    <row r="1031" spans="13:14" x14ac:dyDescent="0.25">
      <c r="M1031" s="51"/>
      <c r="N1031" s="51"/>
    </row>
    <row r="1032" spans="13:14" x14ac:dyDescent="0.25">
      <c r="M1032" s="51"/>
      <c r="N1032" s="51"/>
    </row>
    <row r="1033" spans="13:14" x14ac:dyDescent="0.25">
      <c r="M1033" s="51"/>
      <c r="N1033" s="51"/>
    </row>
    <row r="1034" spans="13:14" x14ac:dyDescent="0.25">
      <c r="M1034" s="51"/>
      <c r="N1034" s="51"/>
    </row>
    <row r="1035" spans="13:14" x14ac:dyDescent="0.25">
      <c r="M1035" s="51"/>
      <c r="N1035" s="51"/>
    </row>
    <row r="1036" spans="13:14" x14ac:dyDescent="0.25">
      <c r="M1036" s="51"/>
      <c r="N1036" s="51"/>
    </row>
    <row r="1037" spans="13:14" x14ac:dyDescent="0.25">
      <c r="M1037" s="51"/>
      <c r="N1037" s="51"/>
    </row>
    <row r="1038" spans="13:14" x14ac:dyDescent="0.25">
      <c r="M1038" s="51"/>
      <c r="N1038" s="51"/>
    </row>
    <row r="1039" spans="13:14" x14ac:dyDescent="0.25">
      <c r="M1039" s="51"/>
      <c r="N1039" s="51"/>
    </row>
    <row r="1040" spans="13:14" x14ac:dyDescent="0.25">
      <c r="M1040" s="51"/>
      <c r="N1040" s="51"/>
    </row>
    <row r="1041" spans="13:14" x14ac:dyDescent="0.25">
      <c r="M1041" s="51"/>
      <c r="N1041" s="51"/>
    </row>
    <row r="1042" spans="13:14" x14ac:dyDescent="0.25">
      <c r="M1042" s="51"/>
      <c r="N1042" s="51"/>
    </row>
    <row r="1043" spans="13:14" x14ac:dyDescent="0.25">
      <c r="M1043" s="51"/>
      <c r="N1043" s="51"/>
    </row>
    <row r="1044" spans="13:14" x14ac:dyDescent="0.25">
      <c r="M1044" s="51"/>
      <c r="N1044" s="51"/>
    </row>
    <row r="1045" spans="13:14" x14ac:dyDescent="0.25">
      <c r="M1045" s="51"/>
      <c r="N1045" s="51"/>
    </row>
    <row r="1046" spans="13:14" x14ac:dyDescent="0.25">
      <c r="M1046" s="51"/>
      <c r="N1046" s="51"/>
    </row>
    <row r="1047" spans="13:14" x14ac:dyDescent="0.25">
      <c r="M1047" s="51"/>
      <c r="N1047" s="51"/>
    </row>
    <row r="1048" spans="13:14" x14ac:dyDescent="0.25">
      <c r="M1048" s="51"/>
      <c r="N1048" s="51"/>
    </row>
    <row r="1049" spans="13:14" x14ac:dyDescent="0.25">
      <c r="M1049" s="51"/>
      <c r="N1049" s="51"/>
    </row>
    <row r="1050" spans="13:14" x14ac:dyDescent="0.25">
      <c r="M1050" s="51"/>
      <c r="N1050" s="51"/>
    </row>
    <row r="1051" spans="13:14" x14ac:dyDescent="0.25">
      <c r="M1051" s="51"/>
      <c r="N1051" s="51"/>
    </row>
    <row r="1052" spans="13:14" x14ac:dyDescent="0.25">
      <c r="M1052" s="51"/>
      <c r="N1052" s="51"/>
    </row>
    <row r="1053" spans="13:14" x14ac:dyDescent="0.25">
      <c r="M1053" s="51"/>
      <c r="N1053" s="51"/>
    </row>
    <row r="1054" spans="13:14" x14ac:dyDescent="0.25">
      <c r="M1054" s="51"/>
      <c r="N1054" s="51"/>
    </row>
    <row r="1055" spans="13:14" x14ac:dyDescent="0.25">
      <c r="M1055" s="51"/>
      <c r="N1055" s="51"/>
    </row>
    <row r="1056" spans="13:14" x14ac:dyDescent="0.25">
      <c r="M1056" s="51"/>
      <c r="N1056" s="51"/>
    </row>
    <row r="1057" spans="13:14" x14ac:dyDescent="0.25">
      <c r="M1057" s="51"/>
      <c r="N1057" s="51"/>
    </row>
    <row r="1058" spans="13:14" x14ac:dyDescent="0.25">
      <c r="M1058" s="51"/>
      <c r="N1058" s="51"/>
    </row>
    <row r="1059" spans="13:14" x14ac:dyDescent="0.25">
      <c r="M1059" s="51"/>
      <c r="N1059" s="51"/>
    </row>
    <row r="1060" spans="13:14" x14ac:dyDescent="0.25">
      <c r="M1060" s="51"/>
      <c r="N1060" s="51"/>
    </row>
    <row r="1061" spans="13:14" x14ac:dyDescent="0.25">
      <c r="M1061" s="51"/>
      <c r="N1061" s="51"/>
    </row>
    <row r="1062" spans="13:14" x14ac:dyDescent="0.25">
      <c r="M1062" s="51"/>
      <c r="N1062" s="51"/>
    </row>
    <row r="1063" spans="13:14" x14ac:dyDescent="0.25">
      <c r="M1063" s="51"/>
      <c r="N1063" s="51"/>
    </row>
    <row r="1064" spans="13:14" x14ac:dyDescent="0.25">
      <c r="M1064" s="51"/>
      <c r="N1064" s="51"/>
    </row>
    <row r="1065" spans="13:14" x14ac:dyDescent="0.25">
      <c r="M1065" s="51"/>
      <c r="N1065" s="51"/>
    </row>
    <row r="1066" spans="13:14" x14ac:dyDescent="0.25">
      <c r="M1066" s="51"/>
      <c r="N1066" s="51"/>
    </row>
    <row r="1067" spans="13:14" x14ac:dyDescent="0.25">
      <c r="M1067" s="51"/>
      <c r="N1067" s="51"/>
    </row>
    <row r="1068" spans="13:14" x14ac:dyDescent="0.25">
      <c r="M1068" s="51"/>
      <c r="N1068" s="51"/>
    </row>
    <row r="1069" spans="13:14" x14ac:dyDescent="0.25">
      <c r="M1069" s="51"/>
      <c r="N1069" s="51"/>
    </row>
    <row r="1070" spans="13:14" x14ac:dyDescent="0.25">
      <c r="M1070" s="51"/>
      <c r="N1070" s="51"/>
    </row>
    <row r="1071" spans="13:14" x14ac:dyDescent="0.25">
      <c r="M1071" s="51"/>
      <c r="N1071" s="51"/>
    </row>
    <row r="1072" spans="13:14" x14ac:dyDescent="0.25">
      <c r="M1072" s="51"/>
      <c r="N1072" s="51"/>
    </row>
    <row r="1073" spans="13:14" x14ac:dyDescent="0.25">
      <c r="M1073" s="51"/>
      <c r="N1073" s="51"/>
    </row>
    <row r="1074" spans="13:14" x14ac:dyDescent="0.25">
      <c r="M1074" s="51"/>
      <c r="N1074" s="51"/>
    </row>
    <row r="1075" spans="13:14" x14ac:dyDescent="0.25">
      <c r="M1075" s="51"/>
      <c r="N1075" s="51"/>
    </row>
    <row r="1076" spans="13:14" x14ac:dyDescent="0.25">
      <c r="M1076" s="51"/>
      <c r="N1076" s="51"/>
    </row>
    <row r="1077" spans="13:14" x14ac:dyDescent="0.25">
      <c r="M1077" s="51"/>
      <c r="N1077" s="51"/>
    </row>
    <row r="1078" spans="13:14" x14ac:dyDescent="0.25">
      <c r="M1078" s="51"/>
      <c r="N1078" s="51"/>
    </row>
    <row r="1079" spans="13:14" x14ac:dyDescent="0.25">
      <c r="M1079" s="51"/>
      <c r="N1079" s="51"/>
    </row>
    <row r="1080" spans="13:14" x14ac:dyDescent="0.25">
      <c r="M1080" s="51"/>
      <c r="N1080" s="51"/>
    </row>
    <row r="1081" spans="13:14" x14ac:dyDescent="0.25">
      <c r="M1081" s="51"/>
      <c r="N1081" s="51"/>
    </row>
    <row r="1082" spans="13:14" x14ac:dyDescent="0.25">
      <c r="M1082" s="51"/>
      <c r="N1082" s="51"/>
    </row>
    <row r="1083" spans="13:14" x14ac:dyDescent="0.25">
      <c r="M1083" s="51"/>
      <c r="N1083" s="51"/>
    </row>
    <row r="1084" spans="13:14" x14ac:dyDescent="0.25">
      <c r="M1084" s="51"/>
      <c r="N1084" s="51"/>
    </row>
    <row r="1085" spans="13:14" x14ac:dyDescent="0.25">
      <c r="M1085" s="51"/>
      <c r="N1085" s="51"/>
    </row>
    <row r="1086" spans="13:14" x14ac:dyDescent="0.25">
      <c r="M1086" s="51"/>
      <c r="N1086" s="51"/>
    </row>
    <row r="1087" spans="13:14" x14ac:dyDescent="0.25">
      <c r="M1087" s="51"/>
      <c r="N1087" s="51"/>
    </row>
    <row r="1088" spans="13:14" x14ac:dyDescent="0.25">
      <c r="M1088" s="51"/>
      <c r="N1088" s="51"/>
    </row>
    <row r="1089" spans="13:14" x14ac:dyDescent="0.25">
      <c r="M1089" s="51"/>
      <c r="N1089" s="51"/>
    </row>
    <row r="1090" spans="13:14" x14ac:dyDescent="0.25">
      <c r="M1090" s="51"/>
      <c r="N1090" s="51"/>
    </row>
    <row r="1091" spans="13:14" x14ac:dyDescent="0.25">
      <c r="M1091" s="51"/>
      <c r="N1091" s="51"/>
    </row>
    <row r="1092" spans="13:14" x14ac:dyDescent="0.25">
      <c r="M1092" s="51"/>
      <c r="N1092" s="51"/>
    </row>
    <row r="1093" spans="13:14" x14ac:dyDescent="0.25">
      <c r="M1093" s="51"/>
      <c r="N1093" s="51"/>
    </row>
    <row r="1094" spans="13:14" x14ac:dyDescent="0.25">
      <c r="M1094" s="51"/>
      <c r="N1094" s="51"/>
    </row>
    <row r="1095" spans="13:14" x14ac:dyDescent="0.25">
      <c r="M1095" s="51"/>
      <c r="N1095" s="51"/>
    </row>
    <row r="1096" spans="13:14" x14ac:dyDescent="0.25">
      <c r="M1096" s="51"/>
      <c r="N1096" s="51"/>
    </row>
    <row r="1097" spans="13:14" x14ac:dyDescent="0.25">
      <c r="M1097" s="51"/>
      <c r="N1097" s="51"/>
    </row>
    <row r="1098" spans="13:14" x14ac:dyDescent="0.25">
      <c r="M1098" s="51"/>
      <c r="N1098" s="51"/>
    </row>
    <row r="1099" spans="13:14" x14ac:dyDescent="0.25">
      <c r="M1099" s="51"/>
      <c r="N1099" s="51"/>
    </row>
    <row r="1100" spans="13:14" x14ac:dyDescent="0.25">
      <c r="M1100" s="51"/>
      <c r="N1100" s="51"/>
    </row>
    <row r="1101" spans="13:14" x14ac:dyDescent="0.25">
      <c r="M1101" s="51"/>
      <c r="N1101" s="51"/>
    </row>
    <row r="1102" spans="13:14" x14ac:dyDescent="0.25">
      <c r="M1102" s="51"/>
      <c r="N1102" s="51"/>
    </row>
    <row r="1103" spans="13:14" x14ac:dyDescent="0.25">
      <c r="M1103" s="51"/>
      <c r="N1103" s="51"/>
    </row>
    <row r="1104" spans="13:14" x14ac:dyDescent="0.25">
      <c r="M1104" s="51"/>
      <c r="N1104" s="51"/>
    </row>
    <row r="1105" spans="13:14" x14ac:dyDescent="0.25">
      <c r="M1105" s="51"/>
      <c r="N1105" s="51"/>
    </row>
    <row r="1106" spans="13:14" x14ac:dyDescent="0.25">
      <c r="M1106" s="51"/>
      <c r="N1106" s="51"/>
    </row>
    <row r="1107" spans="13:14" x14ac:dyDescent="0.25">
      <c r="M1107" s="51"/>
      <c r="N1107" s="51"/>
    </row>
    <row r="1108" spans="13:14" x14ac:dyDescent="0.25">
      <c r="M1108" s="51"/>
      <c r="N1108" s="51"/>
    </row>
    <row r="1109" spans="13:14" x14ac:dyDescent="0.25">
      <c r="M1109" s="51"/>
      <c r="N1109" s="51"/>
    </row>
    <row r="1110" spans="13:14" x14ac:dyDescent="0.25">
      <c r="M1110" s="51"/>
      <c r="N1110" s="51"/>
    </row>
    <row r="1111" spans="13:14" x14ac:dyDescent="0.25">
      <c r="M1111" s="51"/>
      <c r="N1111" s="51"/>
    </row>
    <row r="1112" spans="13:14" x14ac:dyDescent="0.25">
      <c r="M1112" s="51"/>
      <c r="N1112" s="51"/>
    </row>
    <row r="1113" spans="13:14" x14ac:dyDescent="0.25">
      <c r="M1113" s="51"/>
      <c r="N1113" s="51"/>
    </row>
    <row r="1114" spans="13:14" x14ac:dyDescent="0.25">
      <c r="M1114" s="51"/>
      <c r="N1114" s="51"/>
    </row>
    <row r="1115" spans="13:14" x14ac:dyDescent="0.25">
      <c r="M1115" s="51"/>
      <c r="N1115" s="51"/>
    </row>
    <row r="1116" spans="13:14" x14ac:dyDescent="0.25">
      <c r="M1116" s="51"/>
      <c r="N1116" s="51"/>
    </row>
    <row r="1117" spans="13:14" x14ac:dyDescent="0.25">
      <c r="M1117" s="51"/>
      <c r="N1117" s="51"/>
    </row>
    <row r="1118" spans="13:14" x14ac:dyDescent="0.25">
      <c r="M1118" s="51"/>
      <c r="N1118" s="51"/>
    </row>
    <row r="1119" spans="13:14" x14ac:dyDescent="0.25">
      <c r="M1119" s="51"/>
      <c r="N1119" s="51"/>
    </row>
    <row r="1120" spans="13:14" x14ac:dyDescent="0.25">
      <c r="M1120" s="51"/>
      <c r="N1120" s="51"/>
    </row>
    <row r="1121" spans="13:14" x14ac:dyDescent="0.25">
      <c r="M1121" s="51"/>
      <c r="N1121" s="51"/>
    </row>
    <row r="1122" spans="13:14" x14ac:dyDescent="0.25">
      <c r="M1122" s="51"/>
      <c r="N1122" s="51"/>
    </row>
    <row r="1123" spans="13:14" x14ac:dyDescent="0.25">
      <c r="M1123" s="51"/>
      <c r="N1123" s="51"/>
    </row>
    <row r="1124" spans="13:14" x14ac:dyDescent="0.25">
      <c r="M1124" s="51"/>
      <c r="N1124" s="51"/>
    </row>
    <row r="1125" spans="13:14" x14ac:dyDescent="0.25">
      <c r="M1125" s="51"/>
      <c r="N1125" s="51"/>
    </row>
    <row r="1126" spans="13:14" x14ac:dyDescent="0.25">
      <c r="M1126" s="51"/>
      <c r="N1126" s="51"/>
    </row>
    <row r="1127" spans="13:14" x14ac:dyDescent="0.25">
      <c r="M1127" s="51"/>
      <c r="N1127" s="51"/>
    </row>
    <row r="1128" spans="13:14" x14ac:dyDescent="0.25">
      <c r="M1128" s="51"/>
      <c r="N1128" s="51"/>
    </row>
    <row r="1129" spans="13:14" x14ac:dyDescent="0.25">
      <c r="M1129" s="51"/>
      <c r="N1129" s="51"/>
    </row>
    <row r="1130" spans="13:14" x14ac:dyDescent="0.25">
      <c r="M1130" s="51"/>
      <c r="N1130" s="51"/>
    </row>
    <row r="1131" spans="13:14" x14ac:dyDescent="0.25">
      <c r="M1131" s="51"/>
      <c r="N1131" s="51"/>
    </row>
    <row r="1132" spans="13:14" x14ac:dyDescent="0.25">
      <c r="M1132" s="51"/>
      <c r="N1132" s="51"/>
    </row>
    <row r="1133" spans="13:14" x14ac:dyDescent="0.25">
      <c r="M1133" s="51"/>
      <c r="N1133" s="51"/>
    </row>
    <row r="1134" spans="13:14" x14ac:dyDescent="0.25">
      <c r="M1134" s="51"/>
      <c r="N1134" s="51"/>
    </row>
    <row r="1135" spans="13:14" x14ac:dyDescent="0.25">
      <c r="M1135" s="51"/>
      <c r="N1135" s="51"/>
    </row>
    <row r="1136" spans="13:14" x14ac:dyDescent="0.25">
      <c r="M1136" s="51"/>
      <c r="N1136" s="51"/>
    </row>
    <row r="1137" spans="13:14" x14ac:dyDescent="0.25">
      <c r="M1137" s="51"/>
      <c r="N1137" s="51"/>
    </row>
    <row r="1138" spans="13:14" x14ac:dyDescent="0.25">
      <c r="M1138" s="51"/>
      <c r="N1138" s="51"/>
    </row>
    <row r="1139" spans="13:14" x14ac:dyDescent="0.25">
      <c r="M1139" s="51"/>
      <c r="N1139" s="51"/>
    </row>
    <row r="1140" spans="13:14" x14ac:dyDescent="0.25">
      <c r="M1140" s="51"/>
      <c r="N1140" s="51"/>
    </row>
    <row r="1141" spans="13:14" x14ac:dyDescent="0.25">
      <c r="M1141" s="51"/>
      <c r="N1141" s="51"/>
    </row>
    <row r="1142" spans="13:14" x14ac:dyDescent="0.25">
      <c r="M1142" s="51"/>
      <c r="N1142" s="51"/>
    </row>
    <row r="1143" spans="13:14" x14ac:dyDescent="0.25">
      <c r="M1143" s="51"/>
      <c r="N1143" s="51"/>
    </row>
    <row r="1144" spans="13:14" x14ac:dyDescent="0.25">
      <c r="M1144" s="51"/>
      <c r="N1144" s="51"/>
    </row>
    <row r="1145" spans="13:14" x14ac:dyDescent="0.25">
      <c r="M1145" s="51"/>
      <c r="N1145" s="51"/>
    </row>
    <row r="1146" spans="13:14" x14ac:dyDescent="0.25">
      <c r="M1146" s="51"/>
      <c r="N1146" s="51"/>
    </row>
    <row r="1147" spans="13:14" x14ac:dyDescent="0.25">
      <c r="M1147" s="51"/>
      <c r="N1147" s="51"/>
    </row>
    <row r="1148" spans="13:14" x14ac:dyDescent="0.25">
      <c r="M1148" s="51"/>
      <c r="N1148" s="51"/>
    </row>
    <row r="1149" spans="13:14" x14ac:dyDescent="0.25">
      <c r="M1149" s="51"/>
      <c r="N1149" s="51"/>
    </row>
    <row r="1150" spans="13:14" x14ac:dyDescent="0.25">
      <c r="M1150" s="51"/>
      <c r="N1150" s="51"/>
    </row>
    <row r="1151" spans="13:14" x14ac:dyDescent="0.25">
      <c r="M1151" s="51"/>
      <c r="N1151" s="51"/>
    </row>
    <row r="1152" spans="13:14" x14ac:dyDescent="0.25">
      <c r="M1152" s="51"/>
      <c r="N1152" s="51"/>
    </row>
    <row r="1153" spans="13:14" x14ac:dyDescent="0.25">
      <c r="M1153" s="51"/>
      <c r="N1153" s="51"/>
    </row>
    <row r="1154" spans="13:14" x14ac:dyDescent="0.25">
      <c r="M1154" s="51"/>
      <c r="N1154" s="51"/>
    </row>
    <row r="1155" spans="13:14" x14ac:dyDescent="0.25">
      <c r="M1155" s="51"/>
      <c r="N1155" s="51"/>
    </row>
    <row r="1156" spans="13:14" x14ac:dyDescent="0.25">
      <c r="M1156" s="51"/>
      <c r="N1156" s="51"/>
    </row>
    <row r="1157" spans="13:14" x14ac:dyDescent="0.25">
      <c r="M1157" s="51"/>
      <c r="N1157" s="51"/>
    </row>
    <row r="1158" spans="13:14" x14ac:dyDescent="0.25">
      <c r="M1158" s="51"/>
      <c r="N1158" s="51"/>
    </row>
    <row r="1159" spans="13:14" x14ac:dyDescent="0.25">
      <c r="M1159" s="51"/>
      <c r="N1159" s="51"/>
    </row>
    <row r="1160" spans="13:14" x14ac:dyDescent="0.25">
      <c r="M1160" s="51"/>
      <c r="N1160" s="51"/>
    </row>
    <row r="1161" spans="13:14" x14ac:dyDescent="0.25">
      <c r="M1161" s="51"/>
      <c r="N1161" s="51"/>
    </row>
    <row r="1162" spans="13:14" x14ac:dyDescent="0.25">
      <c r="M1162" s="51"/>
      <c r="N1162" s="51"/>
    </row>
    <row r="1163" spans="13:14" x14ac:dyDescent="0.25">
      <c r="M1163" s="51"/>
      <c r="N1163" s="51"/>
    </row>
    <row r="1164" spans="13:14" x14ac:dyDescent="0.25">
      <c r="M1164" s="51"/>
      <c r="N1164" s="51"/>
    </row>
    <row r="1165" spans="13:14" x14ac:dyDescent="0.25">
      <c r="M1165" s="51"/>
      <c r="N1165" s="51"/>
    </row>
    <row r="1166" spans="13:14" x14ac:dyDescent="0.25">
      <c r="M1166" s="51"/>
      <c r="N1166" s="51"/>
    </row>
    <row r="1167" spans="13:14" x14ac:dyDescent="0.25">
      <c r="M1167" s="51"/>
      <c r="N1167" s="51"/>
    </row>
    <row r="1168" spans="13:14" x14ac:dyDescent="0.25">
      <c r="M1168" s="51"/>
      <c r="N1168" s="51"/>
    </row>
    <row r="1169" spans="13:14" x14ac:dyDescent="0.25">
      <c r="M1169" s="51"/>
      <c r="N1169" s="51"/>
    </row>
    <row r="1170" spans="13:14" x14ac:dyDescent="0.25">
      <c r="M1170" s="51"/>
      <c r="N1170" s="51"/>
    </row>
    <row r="1171" spans="13:14" x14ac:dyDescent="0.25">
      <c r="M1171" s="51"/>
      <c r="N1171" s="51"/>
    </row>
    <row r="1172" spans="13:14" x14ac:dyDescent="0.25">
      <c r="M1172" s="51"/>
      <c r="N1172" s="51"/>
    </row>
    <row r="1173" spans="13:14" x14ac:dyDescent="0.25">
      <c r="M1173" s="51"/>
      <c r="N1173" s="51"/>
    </row>
    <row r="1174" spans="13:14" x14ac:dyDescent="0.25">
      <c r="M1174" s="51"/>
      <c r="N1174" s="51"/>
    </row>
    <row r="1175" spans="13:14" x14ac:dyDescent="0.25">
      <c r="M1175" s="51"/>
      <c r="N1175" s="51"/>
    </row>
    <row r="1176" spans="13:14" x14ac:dyDescent="0.25">
      <c r="M1176" s="51"/>
      <c r="N1176" s="51"/>
    </row>
    <row r="1177" spans="13:14" x14ac:dyDescent="0.25">
      <c r="M1177" s="51"/>
      <c r="N1177" s="51"/>
    </row>
    <row r="1178" spans="13:14" x14ac:dyDescent="0.25">
      <c r="M1178" s="51"/>
      <c r="N1178" s="51"/>
    </row>
    <row r="1179" spans="13:14" x14ac:dyDescent="0.25">
      <c r="M1179" s="51"/>
      <c r="N1179" s="51"/>
    </row>
    <row r="1180" spans="13:14" x14ac:dyDescent="0.25">
      <c r="M1180" s="51"/>
      <c r="N1180" s="51"/>
    </row>
    <row r="1181" spans="13:14" x14ac:dyDescent="0.25">
      <c r="M1181" s="51"/>
      <c r="N1181" s="51"/>
    </row>
    <row r="1182" spans="13:14" x14ac:dyDescent="0.25">
      <c r="M1182" s="51"/>
      <c r="N1182" s="51"/>
    </row>
    <row r="1183" spans="13:14" x14ac:dyDescent="0.25">
      <c r="M1183" s="51"/>
      <c r="N1183" s="51"/>
    </row>
    <row r="1184" spans="13:14" x14ac:dyDescent="0.25">
      <c r="M1184" s="51"/>
      <c r="N1184" s="51"/>
    </row>
    <row r="1185" spans="13:14" x14ac:dyDescent="0.25">
      <c r="M1185" s="51"/>
      <c r="N1185" s="51"/>
    </row>
    <row r="1186" spans="13:14" x14ac:dyDescent="0.25">
      <c r="M1186" s="51"/>
      <c r="N1186" s="51"/>
    </row>
    <row r="1187" spans="13:14" x14ac:dyDescent="0.25">
      <c r="M1187" s="51"/>
      <c r="N1187" s="51"/>
    </row>
    <row r="1188" spans="13:14" x14ac:dyDescent="0.25">
      <c r="M1188" s="51"/>
      <c r="N1188" s="51"/>
    </row>
    <row r="1189" spans="13:14" x14ac:dyDescent="0.25">
      <c r="M1189" s="51"/>
      <c r="N1189" s="51"/>
    </row>
    <row r="1190" spans="13:14" x14ac:dyDescent="0.25">
      <c r="M1190" s="51"/>
      <c r="N1190" s="51"/>
    </row>
    <row r="1191" spans="13:14" x14ac:dyDescent="0.25">
      <c r="M1191" s="51"/>
      <c r="N1191" s="51"/>
    </row>
    <row r="1192" spans="13:14" x14ac:dyDescent="0.25">
      <c r="M1192" s="51"/>
      <c r="N1192" s="51"/>
    </row>
    <row r="1193" spans="13:14" x14ac:dyDescent="0.25">
      <c r="M1193" s="51"/>
      <c r="N1193" s="51"/>
    </row>
    <row r="1194" spans="13:14" x14ac:dyDescent="0.25">
      <c r="M1194" s="51"/>
      <c r="N1194" s="51"/>
    </row>
    <row r="1195" spans="13:14" x14ac:dyDescent="0.25">
      <c r="M1195" s="51"/>
      <c r="N1195" s="51"/>
    </row>
    <row r="1196" spans="13:14" x14ac:dyDescent="0.25">
      <c r="M1196" s="51"/>
      <c r="N1196" s="51"/>
    </row>
    <row r="1197" spans="13:14" x14ac:dyDescent="0.25">
      <c r="M1197" s="51"/>
      <c r="N1197" s="51"/>
    </row>
    <row r="1198" spans="13:14" x14ac:dyDescent="0.25">
      <c r="M1198" s="51"/>
      <c r="N1198" s="51"/>
    </row>
    <row r="1199" spans="13:14" x14ac:dyDescent="0.25">
      <c r="M1199" s="51"/>
      <c r="N1199" s="51"/>
    </row>
    <row r="1200" spans="13:14" x14ac:dyDescent="0.25">
      <c r="M1200" s="51"/>
      <c r="N1200" s="51"/>
    </row>
    <row r="1201" spans="13:14" x14ac:dyDescent="0.25">
      <c r="M1201" s="51"/>
      <c r="N1201" s="51"/>
    </row>
    <row r="1202" spans="13:14" x14ac:dyDescent="0.25">
      <c r="M1202" s="51"/>
      <c r="N1202" s="51"/>
    </row>
    <row r="1203" spans="13:14" x14ac:dyDescent="0.25">
      <c r="M1203" s="51"/>
      <c r="N1203" s="51"/>
    </row>
    <row r="1204" spans="13:14" x14ac:dyDescent="0.25">
      <c r="M1204" s="51"/>
      <c r="N1204" s="51"/>
    </row>
    <row r="1205" spans="13:14" x14ac:dyDescent="0.25">
      <c r="M1205" s="51"/>
      <c r="N1205" s="51"/>
    </row>
    <row r="1206" spans="13:14" x14ac:dyDescent="0.25">
      <c r="M1206" s="51"/>
      <c r="N1206" s="51"/>
    </row>
    <row r="1207" spans="13:14" x14ac:dyDescent="0.25">
      <c r="M1207" s="51"/>
      <c r="N1207" s="51"/>
    </row>
    <row r="1208" spans="13:14" x14ac:dyDescent="0.25">
      <c r="M1208" s="51"/>
      <c r="N1208" s="51"/>
    </row>
    <row r="1209" spans="13:14" x14ac:dyDescent="0.25">
      <c r="M1209" s="51"/>
      <c r="N1209" s="51"/>
    </row>
    <row r="1210" spans="13:14" x14ac:dyDescent="0.25">
      <c r="M1210" s="51"/>
      <c r="N1210" s="51"/>
    </row>
    <row r="1211" spans="13:14" x14ac:dyDescent="0.25">
      <c r="M1211" s="51"/>
      <c r="N1211" s="51"/>
    </row>
    <row r="1212" spans="13:14" x14ac:dyDescent="0.25">
      <c r="M1212" s="51"/>
      <c r="N1212" s="51"/>
    </row>
    <row r="1213" spans="13:14" x14ac:dyDescent="0.25">
      <c r="M1213" s="51"/>
      <c r="N1213" s="51"/>
    </row>
    <row r="1214" spans="13:14" x14ac:dyDescent="0.25">
      <c r="M1214" s="51"/>
      <c r="N1214" s="51"/>
    </row>
    <row r="1215" spans="13:14" x14ac:dyDescent="0.25">
      <c r="M1215" s="51"/>
      <c r="N1215" s="51"/>
    </row>
    <row r="1216" spans="13:14" x14ac:dyDescent="0.25">
      <c r="M1216" s="51"/>
      <c r="N1216" s="51"/>
    </row>
    <row r="1217" spans="13:14" x14ac:dyDescent="0.25">
      <c r="M1217" s="51"/>
      <c r="N1217" s="51"/>
    </row>
    <row r="1218" spans="13:14" x14ac:dyDescent="0.25">
      <c r="M1218" s="51"/>
      <c r="N1218" s="51"/>
    </row>
    <row r="1219" spans="13:14" x14ac:dyDescent="0.25">
      <c r="M1219" s="51"/>
      <c r="N1219" s="51"/>
    </row>
    <row r="1220" spans="13:14" x14ac:dyDescent="0.25">
      <c r="M1220" s="51"/>
      <c r="N1220" s="51"/>
    </row>
    <row r="1221" spans="13:14" x14ac:dyDescent="0.25">
      <c r="M1221" s="51"/>
      <c r="N1221" s="51"/>
    </row>
    <row r="1222" spans="13:14" x14ac:dyDescent="0.25">
      <c r="M1222" s="51"/>
      <c r="N1222" s="51"/>
    </row>
    <row r="1223" spans="13:14" x14ac:dyDescent="0.25">
      <c r="M1223" s="51"/>
      <c r="N1223" s="51"/>
    </row>
    <row r="1224" spans="13:14" x14ac:dyDescent="0.25">
      <c r="M1224" s="51"/>
      <c r="N1224" s="51"/>
    </row>
    <row r="1225" spans="13:14" x14ac:dyDescent="0.25">
      <c r="M1225" s="51"/>
      <c r="N1225" s="51"/>
    </row>
    <row r="1226" spans="13:14" x14ac:dyDescent="0.25">
      <c r="M1226" s="51"/>
      <c r="N1226" s="51"/>
    </row>
    <row r="1227" spans="13:14" x14ac:dyDescent="0.25">
      <c r="M1227" s="51"/>
      <c r="N1227" s="51"/>
    </row>
    <row r="1228" spans="13:14" x14ac:dyDescent="0.25">
      <c r="M1228" s="51"/>
      <c r="N1228" s="51"/>
    </row>
    <row r="1229" spans="13:14" x14ac:dyDescent="0.25">
      <c r="M1229" s="51"/>
      <c r="N1229" s="51"/>
    </row>
    <row r="1230" spans="13:14" x14ac:dyDescent="0.25">
      <c r="M1230" s="51"/>
      <c r="N1230" s="51"/>
    </row>
    <row r="1231" spans="13:14" x14ac:dyDescent="0.25">
      <c r="M1231" s="51"/>
      <c r="N1231" s="51"/>
    </row>
    <row r="1232" spans="13:14" x14ac:dyDescent="0.25">
      <c r="M1232" s="51"/>
      <c r="N1232" s="51"/>
    </row>
    <row r="1233" spans="13:14" x14ac:dyDescent="0.25">
      <c r="M1233" s="51"/>
      <c r="N1233" s="51"/>
    </row>
    <row r="1234" spans="13:14" x14ac:dyDescent="0.25">
      <c r="M1234" s="51"/>
      <c r="N1234" s="51"/>
    </row>
    <row r="1235" spans="13:14" x14ac:dyDescent="0.25">
      <c r="M1235" s="51"/>
      <c r="N1235" s="51"/>
    </row>
    <row r="1236" spans="13:14" x14ac:dyDescent="0.25">
      <c r="M1236" s="51"/>
      <c r="N1236" s="51"/>
    </row>
    <row r="1237" spans="13:14" x14ac:dyDescent="0.25">
      <c r="M1237" s="51"/>
      <c r="N1237" s="51"/>
    </row>
    <row r="1238" spans="13:14" x14ac:dyDescent="0.25">
      <c r="M1238" s="51"/>
      <c r="N1238" s="51"/>
    </row>
    <row r="1239" spans="13:14" x14ac:dyDescent="0.25">
      <c r="M1239" s="51"/>
      <c r="N1239" s="51"/>
    </row>
    <row r="1240" spans="13:14" x14ac:dyDescent="0.25">
      <c r="M1240" s="51"/>
      <c r="N1240" s="51"/>
    </row>
    <row r="1241" spans="13:14" x14ac:dyDescent="0.25">
      <c r="M1241" s="51"/>
      <c r="N1241" s="51"/>
    </row>
    <row r="1242" spans="13:14" x14ac:dyDescent="0.25">
      <c r="M1242" s="51"/>
      <c r="N1242" s="51"/>
    </row>
    <row r="1243" spans="13:14" x14ac:dyDescent="0.25">
      <c r="M1243" s="51"/>
      <c r="N1243" s="51"/>
    </row>
    <row r="1244" spans="13:14" x14ac:dyDescent="0.25">
      <c r="M1244" s="51"/>
      <c r="N1244" s="51"/>
    </row>
    <row r="1245" spans="13:14" x14ac:dyDescent="0.25">
      <c r="M1245" s="51"/>
      <c r="N1245" s="51"/>
    </row>
    <row r="1246" spans="13:14" x14ac:dyDescent="0.25">
      <c r="M1246" s="51"/>
      <c r="N1246" s="51"/>
    </row>
    <row r="1247" spans="13:14" x14ac:dyDescent="0.25">
      <c r="M1247" s="51"/>
      <c r="N1247" s="51"/>
    </row>
    <row r="1248" spans="13:14" x14ac:dyDescent="0.25">
      <c r="M1248" s="51"/>
      <c r="N1248" s="51"/>
    </row>
    <row r="1249" spans="13:14" x14ac:dyDescent="0.25">
      <c r="M1249" s="51"/>
      <c r="N1249" s="51"/>
    </row>
    <row r="1250" spans="13:14" x14ac:dyDescent="0.25">
      <c r="M1250" s="51"/>
      <c r="N1250" s="51"/>
    </row>
    <row r="1251" spans="13:14" x14ac:dyDescent="0.25">
      <c r="M1251" s="51"/>
      <c r="N1251" s="51"/>
    </row>
    <row r="1252" spans="13:14" x14ac:dyDescent="0.25">
      <c r="M1252" s="51"/>
      <c r="N1252" s="51"/>
    </row>
    <row r="1253" spans="13:14" x14ac:dyDescent="0.25">
      <c r="M1253" s="51"/>
      <c r="N1253" s="51"/>
    </row>
    <row r="1254" spans="13:14" x14ac:dyDescent="0.25">
      <c r="M1254" s="51"/>
      <c r="N1254" s="51"/>
    </row>
    <row r="1255" spans="13:14" x14ac:dyDescent="0.25">
      <c r="M1255" s="51"/>
      <c r="N1255" s="51"/>
    </row>
    <row r="1256" spans="13:14" x14ac:dyDescent="0.25">
      <c r="M1256" s="51"/>
      <c r="N1256" s="51"/>
    </row>
    <row r="1257" spans="13:14" x14ac:dyDescent="0.25">
      <c r="M1257" s="51"/>
      <c r="N1257" s="51"/>
    </row>
    <row r="1258" spans="13:14" x14ac:dyDescent="0.25">
      <c r="M1258" s="51"/>
      <c r="N1258" s="51"/>
    </row>
    <row r="1259" spans="13:14" x14ac:dyDescent="0.25">
      <c r="M1259" s="51"/>
      <c r="N1259" s="51"/>
    </row>
    <row r="1260" spans="13:14" x14ac:dyDescent="0.25">
      <c r="M1260" s="51"/>
    </row>
  </sheetData>
  <phoneticPr fontId="17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theme="2" tint="-0.249977111117893"/>
  </sheetPr>
  <dimension ref="A1:V300"/>
  <sheetViews>
    <sheetView workbookViewId="0">
      <selection sqref="A1:U1048576"/>
    </sheetView>
  </sheetViews>
  <sheetFormatPr defaultRowHeight="15" x14ac:dyDescent="0.25"/>
  <cols>
    <col min="2" max="2" width="22.5703125" customWidth="1"/>
    <col min="3" max="4" width="10" customWidth="1"/>
    <col min="5" max="5" width="17.5703125" customWidth="1"/>
    <col min="6" max="7" width="10" customWidth="1"/>
    <col min="8" max="8" width="15.42578125" customWidth="1"/>
    <col min="9" max="9" width="17.85546875" customWidth="1"/>
    <col min="10" max="11" width="21.7109375" customWidth="1"/>
    <col min="12" max="12" width="10" customWidth="1"/>
    <col min="13" max="13" width="13.42578125" style="35" customWidth="1"/>
    <col min="14" max="14" width="13" style="35" customWidth="1"/>
    <col min="15" max="15" width="12.5703125" style="35" customWidth="1"/>
    <col min="16" max="16" width="13.5703125" customWidth="1"/>
    <col min="17" max="22" width="13.42578125" customWidth="1"/>
  </cols>
  <sheetData>
    <row r="1" spans="1:22" x14ac:dyDescent="0.25">
      <c r="A1" s="6" t="s">
        <v>27</v>
      </c>
      <c r="B1" s="6" t="s">
        <v>0</v>
      </c>
      <c r="C1" s="6" t="s">
        <v>1</v>
      </c>
      <c r="D1" s="6" t="s">
        <v>2</v>
      </c>
      <c r="E1" s="6" t="s">
        <v>3</v>
      </c>
      <c r="F1" s="6" t="s">
        <v>4</v>
      </c>
      <c r="G1" s="6" t="s">
        <v>5</v>
      </c>
      <c r="H1" s="6" t="s">
        <v>6</v>
      </c>
      <c r="I1" s="6" t="s">
        <v>7</v>
      </c>
      <c r="J1" s="6" t="s">
        <v>8</v>
      </c>
      <c r="K1" s="6" t="s">
        <v>54</v>
      </c>
      <c r="L1" s="6" t="s">
        <v>55</v>
      </c>
      <c r="M1" s="36" t="s">
        <v>10</v>
      </c>
      <c r="N1" s="36" t="s">
        <v>11</v>
      </c>
      <c r="O1" s="36" t="s">
        <v>12</v>
      </c>
      <c r="P1" s="6" t="s">
        <v>13</v>
      </c>
      <c r="Q1" s="6" t="s">
        <v>14</v>
      </c>
      <c r="R1" s="6" t="s">
        <v>15</v>
      </c>
      <c r="S1" s="6" t="s">
        <v>16</v>
      </c>
      <c r="T1" s="6" t="s">
        <v>17</v>
      </c>
      <c r="U1" s="6" t="s">
        <v>18</v>
      </c>
      <c r="V1" s="6" t="s">
        <v>19</v>
      </c>
    </row>
    <row r="2" spans="1:22" x14ac:dyDescent="0.25">
      <c r="A2" t="s">
        <v>321</v>
      </c>
      <c r="B2" s="1" t="s">
        <v>121</v>
      </c>
      <c r="C2" s="1" t="s">
        <v>171</v>
      </c>
      <c r="D2" s="1" t="s">
        <v>221</v>
      </c>
      <c r="E2" s="1" t="s">
        <v>271</v>
      </c>
      <c r="F2">
        <v>0</v>
      </c>
      <c r="H2" s="1"/>
      <c r="I2" s="1"/>
      <c r="J2" s="1"/>
      <c r="K2" s="1"/>
      <c r="L2" s="4">
        <v>0</v>
      </c>
      <c r="M2" s="37"/>
      <c r="N2" s="37">
        <v>2</v>
      </c>
      <c r="O2" s="37">
        <v>2</v>
      </c>
      <c r="Q2" t="s">
        <v>372</v>
      </c>
    </row>
    <row r="3" spans="1:22" x14ac:dyDescent="0.25">
      <c r="A3" t="s">
        <v>322</v>
      </c>
      <c r="B3" s="1" t="s">
        <v>122</v>
      </c>
      <c r="C3" s="1" t="s">
        <v>172</v>
      </c>
      <c r="D3" s="1" t="s">
        <v>222</v>
      </c>
      <c r="E3" s="1" t="s">
        <v>272</v>
      </c>
      <c r="F3">
        <v>111</v>
      </c>
      <c r="G3" t="s">
        <v>48</v>
      </c>
      <c r="H3" s="1"/>
      <c r="I3" s="1" t="s">
        <v>45</v>
      </c>
      <c r="J3" s="1" t="s">
        <v>20</v>
      </c>
      <c r="K3" s="1" t="s">
        <v>56</v>
      </c>
      <c r="L3" s="4">
        <v>140000</v>
      </c>
      <c r="M3" s="37" t="s">
        <v>39</v>
      </c>
      <c r="N3" s="37">
        <v>43481</v>
      </c>
      <c r="O3" s="37">
        <v>2</v>
      </c>
      <c r="P3" t="s">
        <v>25</v>
      </c>
      <c r="Q3" t="s">
        <v>49</v>
      </c>
    </row>
    <row r="4" spans="1:22" x14ac:dyDescent="0.25">
      <c r="A4" t="s">
        <v>323</v>
      </c>
      <c r="B4" s="1" t="s">
        <v>123</v>
      </c>
      <c r="C4" s="1" t="s">
        <v>173</v>
      </c>
      <c r="D4" s="1" t="s">
        <v>223</v>
      </c>
      <c r="E4" s="1" t="s">
        <v>273</v>
      </c>
      <c r="F4">
        <v>222</v>
      </c>
      <c r="H4" s="1"/>
      <c r="I4" s="1"/>
      <c r="J4" s="1"/>
      <c r="K4" s="1"/>
      <c r="L4" s="4">
        <v>0</v>
      </c>
      <c r="M4" s="37"/>
      <c r="N4" s="37">
        <v>2</v>
      </c>
      <c r="O4" s="37">
        <v>43481</v>
      </c>
    </row>
    <row r="5" spans="1:22" x14ac:dyDescent="0.25">
      <c r="A5" t="s">
        <v>324</v>
      </c>
      <c r="B5" s="1" t="s">
        <v>124</v>
      </c>
      <c r="C5" s="1" t="s">
        <v>174</v>
      </c>
      <c r="D5" s="1" t="s">
        <v>224</v>
      </c>
      <c r="E5" s="1" t="s">
        <v>274</v>
      </c>
      <c r="F5">
        <v>333</v>
      </c>
      <c r="H5" s="1"/>
      <c r="I5" s="1"/>
      <c r="J5" s="1"/>
      <c r="K5" s="1"/>
      <c r="L5" s="4">
        <v>0</v>
      </c>
      <c r="M5" s="37"/>
      <c r="N5" s="37">
        <v>2</v>
      </c>
      <c r="O5" s="37">
        <v>42947</v>
      </c>
    </row>
    <row r="6" spans="1:22" x14ac:dyDescent="0.25">
      <c r="A6" t="s">
        <v>325</v>
      </c>
      <c r="B6" s="1" t="s">
        <v>125</v>
      </c>
      <c r="C6" s="1" t="s">
        <v>175</v>
      </c>
      <c r="D6" s="1" t="s">
        <v>225</v>
      </c>
      <c r="E6" s="1" t="s">
        <v>275</v>
      </c>
      <c r="F6">
        <v>444</v>
      </c>
      <c r="H6" s="1"/>
      <c r="I6" s="1"/>
      <c r="J6" s="1"/>
      <c r="K6" s="1"/>
      <c r="L6" s="4">
        <v>0</v>
      </c>
      <c r="M6" s="37"/>
      <c r="N6" s="37">
        <v>2</v>
      </c>
      <c r="O6" s="37">
        <v>43257</v>
      </c>
    </row>
    <row r="7" spans="1:22" x14ac:dyDescent="0.25">
      <c r="A7" t="s">
        <v>326</v>
      </c>
      <c r="B7" s="1" t="s">
        <v>126</v>
      </c>
      <c r="C7" s="1" t="s">
        <v>176</v>
      </c>
      <c r="D7" s="1" t="s">
        <v>226</v>
      </c>
      <c r="E7" s="1" t="s">
        <v>276</v>
      </c>
      <c r="F7">
        <v>555</v>
      </c>
      <c r="H7" s="1"/>
      <c r="I7" s="1"/>
      <c r="J7" s="1"/>
      <c r="K7" s="1"/>
      <c r="L7" s="4">
        <v>0</v>
      </c>
      <c r="M7" s="37"/>
      <c r="N7" s="37">
        <v>2</v>
      </c>
      <c r="O7" s="37">
        <v>43231</v>
      </c>
    </row>
    <row r="8" spans="1:22" x14ac:dyDescent="0.25">
      <c r="A8" t="s">
        <v>327</v>
      </c>
      <c r="B8" s="1" t="s">
        <v>127</v>
      </c>
      <c r="C8" s="1" t="s">
        <v>177</v>
      </c>
      <c r="D8" s="1" t="s">
        <v>227</v>
      </c>
      <c r="E8" s="1" t="s">
        <v>277</v>
      </c>
      <c r="F8">
        <v>666</v>
      </c>
      <c r="H8" s="1"/>
      <c r="I8" s="1"/>
      <c r="J8" s="1"/>
      <c r="K8" s="1"/>
      <c r="L8" s="4">
        <v>0</v>
      </c>
      <c r="M8" s="37"/>
      <c r="N8" s="37">
        <v>2</v>
      </c>
      <c r="O8" s="37">
        <v>43200</v>
      </c>
    </row>
    <row r="9" spans="1:22" x14ac:dyDescent="0.25">
      <c r="A9" t="s">
        <v>328</v>
      </c>
      <c r="B9" s="1" t="s">
        <v>128</v>
      </c>
      <c r="C9" s="1" t="s">
        <v>178</v>
      </c>
      <c r="D9" s="1" t="s">
        <v>228</v>
      </c>
      <c r="E9" s="1" t="s">
        <v>278</v>
      </c>
      <c r="F9">
        <v>777</v>
      </c>
      <c r="H9" s="1"/>
      <c r="I9" s="1"/>
      <c r="J9" s="1"/>
      <c r="K9" s="1"/>
      <c r="L9" s="4">
        <v>0</v>
      </c>
      <c r="M9" s="37"/>
      <c r="N9" s="37">
        <v>2</v>
      </c>
      <c r="O9" s="37">
        <v>43313</v>
      </c>
    </row>
    <row r="10" spans="1:22" x14ac:dyDescent="0.25">
      <c r="A10" t="s">
        <v>329</v>
      </c>
      <c r="B10" s="1" t="s">
        <v>129</v>
      </c>
      <c r="C10" s="1" t="s">
        <v>179</v>
      </c>
      <c r="D10" s="1" t="s">
        <v>229</v>
      </c>
      <c r="E10" s="1" t="s">
        <v>279</v>
      </c>
      <c r="F10">
        <v>888</v>
      </c>
      <c r="H10" s="1"/>
      <c r="I10" s="1"/>
      <c r="J10" s="1"/>
      <c r="K10" s="1"/>
      <c r="L10" s="4">
        <v>0</v>
      </c>
      <c r="M10" s="37"/>
      <c r="N10" s="37">
        <v>2</v>
      </c>
      <c r="O10" s="37">
        <v>43312</v>
      </c>
    </row>
    <row r="11" spans="1:22" x14ac:dyDescent="0.25">
      <c r="A11" t="s">
        <v>330</v>
      </c>
      <c r="B11" s="1" t="s">
        <v>130</v>
      </c>
      <c r="C11" s="1" t="s">
        <v>180</v>
      </c>
      <c r="D11" s="1" t="s">
        <v>230</v>
      </c>
      <c r="E11" s="1" t="s">
        <v>280</v>
      </c>
      <c r="F11">
        <v>999</v>
      </c>
      <c r="H11" s="1"/>
      <c r="I11" s="1"/>
      <c r="J11" s="1"/>
      <c r="K11" s="1"/>
      <c r="L11" s="4">
        <v>0</v>
      </c>
      <c r="M11" s="37"/>
      <c r="N11" s="37">
        <v>2</v>
      </c>
      <c r="O11" s="37">
        <v>43158</v>
      </c>
    </row>
    <row r="12" spans="1:22" x14ac:dyDescent="0.25">
      <c r="A12" t="s">
        <v>331</v>
      </c>
      <c r="B12" s="1" t="s">
        <v>131</v>
      </c>
      <c r="C12" s="1" t="s">
        <v>181</v>
      </c>
      <c r="D12" s="1" t="s">
        <v>231</v>
      </c>
      <c r="E12" s="1" t="s">
        <v>281</v>
      </c>
      <c r="F12">
        <v>1110</v>
      </c>
      <c r="H12" s="1"/>
      <c r="I12" s="1"/>
      <c r="J12" s="1"/>
      <c r="K12" s="1"/>
      <c r="L12" s="4">
        <v>0</v>
      </c>
      <c r="M12" s="37"/>
      <c r="N12" s="37">
        <v>2</v>
      </c>
      <c r="O12" s="37">
        <v>43164</v>
      </c>
    </row>
    <row r="13" spans="1:22" x14ac:dyDescent="0.25">
      <c r="A13" t="s">
        <v>332</v>
      </c>
      <c r="B13" s="1" t="s">
        <v>132</v>
      </c>
      <c r="C13" s="1" t="s">
        <v>182</v>
      </c>
      <c r="D13" s="1" t="s">
        <v>232</v>
      </c>
      <c r="E13" s="1" t="s">
        <v>282</v>
      </c>
      <c r="F13">
        <v>1221</v>
      </c>
      <c r="H13" s="1"/>
      <c r="I13" s="1"/>
      <c r="J13" s="1"/>
      <c r="K13" s="1"/>
      <c r="L13" s="4">
        <v>0</v>
      </c>
      <c r="M13" s="37"/>
      <c r="N13" s="37">
        <v>2</v>
      </c>
      <c r="O13" s="37">
        <v>43511</v>
      </c>
    </row>
    <row r="14" spans="1:22" x14ac:dyDescent="0.25">
      <c r="A14" t="s">
        <v>333</v>
      </c>
      <c r="B14" s="1" t="s">
        <v>133</v>
      </c>
      <c r="C14" s="1" t="s">
        <v>183</v>
      </c>
      <c r="D14" s="1" t="s">
        <v>233</v>
      </c>
      <c r="E14" s="1" t="s">
        <v>283</v>
      </c>
      <c r="F14">
        <v>1332</v>
      </c>
      <c r="H14" s="1"/>
      <c r="I14" s="1"/>
      <c r="J14" s="1"/>
      <c r="K14" s="1"/>
      <c r="L14" s="4">
        <v>0</v>
      </c>
      <c r="M14" s="37"/>
      <c r="N14" s="37">
        <v>2</v>
      </c>
      <c r="O14" s="37">
        <v>43206</v>
      </c>
    </row>
    <row r="15" spans="1:22" x14ac:dyDescent="0.25">
      <c r="A15" t="s">
        <v>334</v>
      </c>
      <c r="B15" s="1" t="s">
        <v>134</v>
      </c>
      <c r="C15" s="1" t="s">
        <v>184</v>
      </c>
      <c r="D15" s="1" t="s">
        <v>234</v>
      </c>
      <c r="E15" s="1" t="s">
        <v>284</v>
      </c>
      <c r="F15">
        <v>1443</v>
      </c>
      <c r="G15" s="1" t="s">
        <v>46</v>
      </c>
      <c r="H15" s="1"/>
      <c r="I15" s="1" t="s">
        <v>45</v>
      </c>
      <c r="J15" s="1" t="s">
        <v>20</v>
      </c>
      <c r="K15" s="1"/>
      <c r="L15" s="4">
        <v>0</v>
      </c>
      <c r="M15" s="37" t="s">
        <v>38</v>
      </c>
      <c r="N15" s="37">
        <v>43304</v>
      </c>
      <c r="O15" s="37">
        <v>43257</v>
      </c>
      <c r="P15" t="s">
        <v>37</v>
      </c>
      <c r="Q15" t="s">
        <v>47</v>
      </c>
    </row>
    <row r="16" spans="1:22" x14ac:dyDescent="0.25">
      <c r="A16" t="s">
        <v>335</v>
      </c>
      <c r="B16" s="1" t="s">
        <v>135</v>
      </c>
      <c r="C16" s="1" t="s">
        <v>185</v>
      </c>
      <c r="D16" s="1" t="s">
        <v>235</v>
      </c>
      <c r="E16" s="1" t="s">
        <v>285</v>
      </c>
      <c r="F16">
        <v>1554</v>
      </c>
      <c r="G16" s="1"/>
      <c r="H16" s="1"/>
      <c r="I16" s="1"/>
      <c r="J16" s="1"/>
      <c r="K16" s="1"/>
      <c r="L16" s="4">
        <v>0</v>
      </c>
      <c r="M16" s="37"/>
      <c r="N16" s="37">
        <v>2</v>
      </c>
      <c r="O16" s="37">
        <v>43411</v>
      </c>
    </row>
    <row r="17" spans="1:15" x14ac:dyDescent="0.25">
      <c r="A17" t="s">
        <v>336</v>
      </c>
      <c r="B17" s="1" t="s">
        <v>136</v>
      </c>
      <c r="C17" s="1" t="s">
        <v>186</v>
      </c>
      <c r="D17" s="1" t="s">
        <v>236</v>
      </c>
      <c r="E17" s="1" t="s">
        <v>286</v>
      </c>
      <c r="F17">
        <v>1665</v>
      </c>
      <c r="G17" s="1"/>
      <c r="H17" s="1"/>
      <c r="I17" s="1"/>
      <c r="J17" s="1"/>
      <c r="K17" s="1"/>
      <c r="L17" s="4">
        <v>0</v>
      </c>
      <c r="M17" s="37"/>
      <c r="N17" s="37">
        <v>2</v>
      </c>
      <c r="O17" s="37">
        <v>43165</v>
      </c>
    </row>
    <row r="18" spans="1:15" x14ac:dyDescent="0.25">
      <c r="A18" t="s">
        <v>337</v>
      </c>
      <c r="B18" s="1" t="s">
        <v>137</v>
      </c>
      <c r="C18" s="1" t="s">
        <v>187</v>
      </c>
      <c r="D18" s="1" t="s">
        <v>237</v>
      </c>
      <c r="E18" s="1" t="s">
        <v>287</v>
      </c>
      <c r="F18">
        <v>1776</v>
      </c>
      <c r="G18" s="1"/>
      <c r="H18" s="1"/>
      <c r="I18" s="1"/>
      <c r="J18" s="1"/>
      <c r="K18" s="1"/>
      <c r="L18" s="4">
        <v>0</v>
      </c>
      <c r="M18" s="37"/>
      <c r="N18" s="37">
        <v>2</v>
      </c>
      <c r="O18" s="37">
        <v>43360</v>
      </c>
    </row>
    <row r="19" spans="1:15" x14ac:dyDescent="0.25">
      <c r="A19" t="s">
        <v>338</v>
      </c>
      <c r="B19" s="1" t="s">
        <v>138</v>
      </c>
      <c r="C19" s="1" t="s">
        <v>188</v>
      </c>
      <c r="D19" s="1" t="s">
        <v>238</v>
      </c>
      <c r="E19" s="1" t="s">
        <v>288</v>
      </c>
      <c r="F19">
        <v>1887</v>
      </c>
      <c r="G19" s="1"/>
      <c r="H19" s="1"/>
      <c r="I19" s="1"/>
      <c r="J19" s="1"/>
      <c r="K19" s="1"/>
      <c r="L19" s="4">
        <v>0</v>
      </c>
      <c r="M19" s="37"/>
      <c r="N19" s="37">
        <v>2</v>
      </c>
      <c r="O19" s="37">
        <v>43476</v>
      </c>
    </row>
    <row r="20" spans="1:15" x14ac:dyDescent="0.25">
      <c r="A20" t="s">
        <v>339</v>
      </c>
      <c r="B20" s="1" t="s">
        <v>139</v>
      </c>
      <c r="C20" s="1" t="s">
        <v>189</v>
      </c>
      <c r="D20" s="1" t="s">
        <v>239</v>
      </c>
      <c r="E20" s="1" t="s">
        <v>289</v>
      </c>
      <c r="F20">
        <v>1998</v>
      </c>
      <c r="G20" s="1"/>
      <c r="H20" s="1"/>
      <c r="I20" s="1"/>
      <c r="J20" s="1"/>
      <c r="K20" s="1"/>
      <c r="L20" s="4">
        <v>0</v>
      </c>
      <c r="M20" s="37"/>
      <c r="N20" s="37">
        <v>2</v>
      </c>
      <c r="O20" s="37">
        <v>43411</v>
      </c>
    </row>
    <row r="21" spans="1:15" x14ac:dyDescent="0.25">
      <c r="A21" t="s">
        <v>340</v>
      </c>
      <c r="B21" s="1" t="s">
        <v>140</v>
      </c>
      <c r="C21" s="1" t="s">
        <v>190</v>
      </c>
      <c r="D21" s="1" t="s">
        <v>240</v>
      </c>
      <c r="E21" s="1" t="s">
        <v>290</v>
      </c>
      <c r="F21">
        <v>2109</v>
      </c>
      <c r="G21" s="1"/>
      <c r="H21" s="1"/>
      <c r="I21" s="1"/>
      <c r="J21" s="1"/>
      <c r="K21" s="1"/>
      <c r="L21" s="4">
        <v>0</v>
      </c>
      <c r="M21" s="37"/>
      <c r="N21" s="37">
        <v>2</v>
      </c>
      <c r="O21" s="37">
        <v>43232</v>
      </c>
    </row>
    <row r="22" spans="1:15" x14ac:dyDescent="0.25">
      <c r="A22" t="s">
        <v>341</v>
      </c>
      <c r="B22" s="1" t="s">
        <v>141</v>
      </c>
      <c r="C22" s="1" t="s">
        <v>191</v>
      </c>
      <c r="D22" s="1" t="s">
        <v>241</v>
      </c>
      <c r="E22" s="1" t="s">
        <v>291</v>
      </c>
      <c r="F22">
        <v>2220</v>
      </c>
      <c r="G22" s="1"/>
      <c r="H22" s="1"/>
      <c r="I22" s="1"/>
      <c r="J22" s="1"/>
      <c r="K22" s="1"/>
      <c r="L22" s="4">
        <v>0</v>
      </c>
      <c r="M22" s="37"/>
      <c r="N22" s="37">
        <v>2</v>
      </c>
      <c r="O22" s="37">
        <v>43172</v>
      </c>
    </row>
    <row r="23" spans="1:15" x14ac:dyDescent="0.25">
      <c r="A23" t="s">
        <v>342</v>
      </c>
      <c r="B23" s="1" t="s">
        <v>142</v>
      </c>
      <c r="C23" s="1" t="s">
        <v>192</v>
      </c>
      <c r="D23" s="1" t="s">
        <v>242</v>
      </c>
      <c r="E23" s="1" t="s">
        <v>292</v>
      </c>
      <c r="F23">
        <v>2331</v>
      </c>
      <c r="G23" s="1"/>
      <c r="H23" s="1"/>
      <c r="I23" s="1"/>
      <c r="J23" s="1"/>
      <c r="K23" s="1"/>
      <c r="L23" s="4">
        <v>0</v>
      </c>
      <c r="M23" s="37"/>
      <c r="N23" s="37">
        <v>2</v>
      </c>
      <c r="O23" s="37">
        <v>43132</v>
      </c>
    </row>
    <row r="24" spans="1:15" x14ac:dyDescent="0.25">
      <c r="A24" t="s">
        <v>343</v>
      </c>
      <c r="B24" s="1" t="s">
        <v>143</v>
      </c>
      <c r="C24" s="1" t="s">
        <v>193</v>
      </c>
      <c r="D24" s="1" t="s">
        <v>243</v>
      </c>
      <c r="E24" s="1" t="s">
        <v>293</v>
      </c>
      <c r="F24">
        <v>2442</v>
      </c>
      <c r="G24" s="1"/>
      <c r="H24" s="1"/>
      <c r="I24" s="1"/>
      <c r="J24" s="1"/>
      <c r="K24" s="1"/>
      <c r="L24" s="4">
        <v>0</v>
      </c>
      <c r="M24" s="37"/>
      <c r="N24" s="37">
        <v>2</v>
      </c>
      <c r="O24" s="37">
        <v>43215</v>
      </c>
    </row>
    <row r="25" spans="1:15" x14ac:dyDescent="0.25">
      <c r="A25" t="s">
        <v>344</v>
      </c>
      <c r="B25" s="1" t="s">
        <v>144</v>
      </c>
      <c r="C25" s="1" t="s">
        <v>194</v>
      </c>
      <c r="D25" s="1" t="s">
        <v>244</v>
      </c>
      <c r="E25" s="1" t="s">
        <v>294</v>
      </c>
      <c r="F25">
        <v>2553</v>
      </c>
      <c r="L25">
        <v>0</v>
      </c>
      <c r="N25" s="37">
        <v>2</v>
      </c>
      <c r="O25" s="35">
        <v>42859</v>
      </c>
    </row>
    <row r="26" spans="1:15" x14ac:dyDescent="0.25">
      <c r="A26" t="s">
        <v>345</v>
      </c>
      <c r="B26" s="1" t="s">
        <v>145</v>
      </c>
      <c r="C26" s="1" t="s">
        <v>195</v>
      </c>
      <c r="D26" s="1" t="s">
        <v>245</v>
      </c>
      <c r="E26" s="1" t="s">
        <v>295</v>
      </c>
      <c r="F26">
        <v>2664</v>
      </c>
      <c r="L26">
        <v>0</v>
      </c>
      <c r="N26" s="37">
        <v>2</v>
      </c>
      <c r="O26" s="35">
        <v>43132</v>
      </c>
    </row>
    <row r="27" spans="1:15" x14ac:dyDescent="0.25">
      <c r="A27" t="s">
        <v>346</v>
      </c>
      <c r="B27" s="1" t="s">
        <v>146</v>
      </c>
      <c r="C27" s="1" t="s">
        <v>196</v>
      </c>
      <c r="D27" s="1" t="s">
        <v>246</v>
      </c>
      <c r="E27" s="1" t="s">
        <v>296</v>
      </c>
      <c r="F27">
        <v>2775</v>
      </c>
      <c r="L27">
        <v>0</v>
      </c>
      <c r="N27" s="37">
        <v>2</v>
      </c>
      <c r="O27" s="35">
        <v>43220</v>
      </c>
    </row>
    <row r="28" spans="1:15" x14ac:dyDescent="0.25">
      <c r="A28" t="s">
        <v>347</v>
      </c>
      <c r="B28" s="1" t="s">
        <v>147</v>
      </c>
      <c r="C28" s="1" t="s">
        <v>197</v>
      </c>
      <c r="D28" s="1" t="s">
        <v>247</v>
      </c>
      <c r="E28" s="1" t="s">
        <v>297</v>
      </c>
      <c r="F28">
        <v>2886</v>
      </c>
      <c r="L28">
        <v>0</v>
      </c>
      <c r="N28" s="37">
        <v>2</v>
      </c>
      <c r="O28" s="35">
        <v>43230</v>
      </c>
    </row>
    <row r="29" spans="1:15" x14ac:dyDescent="0.25">
      <c r="A29" t="s">
        <v>348</v>
      </c>
      <c r="B29" s="1" t="s">
        <v>148</v>
      </c>
      <c r="C29" s="1" t="s">
        <v>198</v>
      </c>
      <c r="D29" s="1" t="s">
        <v>248</v>
      </c>
      <c r="E29" s="1" t="s">
        <v>298</v>
      </c>
      <c r="F29">
        <v>2997</v>
      </c>
      <c r="L29">
        <v>0</v>
      </c>
      <c r="N29" s="37">
        <v>2</v>
      </c>
      <c r="O29" s="35">
        <v>43327</v>
      </c>
    </row>
    <row r="30" spans="1:15" x14ac:dyDescent="0.25">
      <c r="A30" t="s">
        <v>349</v>
      </c>
      <c r="B30" s="1" t="s">
        <v>149</v>
      </c>
      <c r="C30" s="1" t="s">
        <v>199</v>
      </c>
      <c r="D30" s="1" t="s">
        <v>249</v>
      </c>
      <c r="E30" s="1" t="s">
        <v>299</v>
      </c>
      <c r="F30">
        <v>3108</v>
      </c>
      <c r="L30">
        <v>0</v>
      </c>
      <c r="N30" s="37">
        <v>2</v>
      </c>
      <c r="O30" s="35">
        <v>43147</v>
      </c>
    </row>
    <row r="31" spans="1:15" x14ac:dyDescent="0.25">
      <c r="A31" t="s">
        <v>350</v>
      </c>
      <c r="B31" s="1" t="s">
        <v>150</v>
      </c>
      <c r="C31" s="1" t="s">
        <v>200</v>
      </c>
      <c r="D31" s="1" t="s">
        <v>250</v>
      </c>
      <c r="E31" s="1" t="s">
        <v>300</v>
      </c>
      <c r="F31">
        <v>3219</v>
      </c>
      <c r="L31">
        <v>0</v>
      </c>
      <c r="N31" s="37">
        <v>2</v>
      </c>
      <c r="O31" s="35">
        <v>43314</v>
      </c>
    </row>
    <row r="32" spans="1:15" x14ac:dyDescent="0.25">
      <c r="A32" t="s">
        <v>351</v>
      </c>
      <c r="B32" s="1" t="s">
        <v>151</v>
      </c>
      <c r="C32" s="1" t="s">
        <v>201</v>
      </c>
      <c r="D32" s="1" t="s">
        <v>251</v>
      </c>
      <c r="E32" s="1" t="s">
        <v>301</v>
      </c>
      <c r="F32">
        <v>3330</v>
      </c>
      <c r="K32" s="1"/>
      <c r="L32">
        <v>0</v>
      </c>
      <c r="N32" s="37">
        <v>2</v>
      </c>
      <c r="O32" s="35">
        <v>43605</v>
      </c>
    </row>
    <row r="33" spans="1:18" x14ac:dyDescent="0.25">
      <c r="A33" t="s">
        <v>352</v>
      </c>
      <c r="B33" s="1" t="s">
        <v>152</v>
      </c>
      <c r="C33" s="1" t="s">
        <v>202</v>
      </c>
      <c r="D33" s="1" t="s">
        <v>252</v>
      </c>
      <c r="E33" s="1" t="s">
        <v>302</v>
      </c>
      <c r="F33">
        <v>3441</v>
      </c>
      <c r="K33" s="1"/>
      <c r="L33">
        <v>0</v>
      </c>
      <c r="N33" s="37">
        <v>2</v>
      </c>
      <c r="O33" s="35">
        <v>43332</v>
      </c>
    </row>
    <row r="34" spans="1:18" x14ac:dyDescent="0.25">
      <c r="A34" t="s">
        <v>353</v>
      </c>
      <c r="B34" s="1" t="s">
        <v>153</v>
      </c>
      <c r="C34" s="1" t="s">
        <v>203</v>
      </c>
      <c r="D34" s="1" t="s">
        <v>253</v>
      </c>
      <c r="E34" s="1" t="s">
        <v>303</v>
      </c>
      <c r="F34">
        <v>3552</v>
      </c>
      <c r="L34">
        <v>0</v>
      </c>
      <c r="N34" s="37">
        <v>2</v>
      </c>
      <c r="O34" s="35">
        <v>43171</v>
      </c>
    </row>
    <row r="35" spans="1:18" x14ac:dyDescent="0.25">
      <c r="A35" t="s">
        <v>354</v>
      </c>
      <c r="B35" s="1" t="s">
        <v>154</v>
      </c>
      <c r="C35" s="1" t="s">
        <v>204</v>
      </c>
      <c r="D35" s="1" t="s">
        <v>254</v>
      </c>
      <c r="E35" s="1" t="s">
        <v>304</v>
      </c>
      <c r="F35">
        <v>3663</v>
      </c>
      <c r="L35">
        <v>0</v>
      </c>
      <c r="N35" s="37">
        <v>2</v>
      </c>
      <c r="O35" s="35">
        <v>43370</v>
      </c>
    </row>
    <row r="36" spans="1:18" x14ac:dyDescent="0.25">
      <c r="A36" t="s">
        <v>355</v>
      </c>
      <c r="B36" s="1" t="s">
        <v>155</v>
      </c>
      <c r="C36" s="1" t="s">
        <v>205</v>
      </c>
      <c r="D36" s="1" t="s">
        <v>255</v>
      </c>
      <c r="E36" s="1" t="s">
        <v>305</v>
      </c>
      <c r="F36">
        <v>3774</v>
      </c>
      <c r="L36">
        <v>0</v>
      </c>
      <c r="N36" s="37">
        <v>2</v>
      </c>
      <c r="O36" s="35">
        <v>43107</v>
      </c>
    </row>
    <row r="37" spans="1:18" x14ac:dyDescent="0.25">
      <c r="A37" t="s">
        <v>356</v>
      </c>
      <c r="B37" s="1" t="s">
        <v>156</v>
      </c>
      <c r="C37" s="1" t="s">
        <v>206</v>
      </c>
      <c r="D37" s="1" t="s">
        <v>256</v>
      </c>
      <c r="E37" s="1" t="s">
        <v>306</v>
      </c>
      <c r="F37">
        <v>3885</v>
      </c>
      <c r="L37">
        <v>0</v>
      </c>
      <c r="N37" s="37">
        <v>2</v>
      </c>
      <c r="O37" s="35">
        <v>43462</v>
      </c>
    </row>
    <row r="38" spans="1:18" x14ac:dyDescent="0.25">
      <c r="A38" t="s">
        <v>357</v>
      </c>
      <c r="B38" s="1" t="s">
        <v>157</v>
      </c>
      <c r="C38" s="1" t="s">
        <v>207</v>
      </c>
      <c r="D38" s="1" t="s">
        <v>257</v>
      </c>
      <c r="E38" s="1" t="s">
        <v>307</v>
      </c>
      <c r="F38">
        <v>3996</v>
      </c>
      <c r="G38" t="s">
        <v>53</v>
      </c>
      <c r="I38" t="s">
        <v>45</v>
      </c>
      <c r="J38" t="s">
        <v>20</v>
      </c>
      <c r="K38" t="s">
        <v>56</v>
      </c>
      <c r="L38">
        <v>10000</v>
      </c>
      <c r="M38" s="35" t="s">
        <v>39</v>
      </c>
      <c r="N38" s="37">
        <v>43389</v>
      </c>
      <c r="O38" s="35">
        <v>2</v>
      </c>
      <c r="P38" t="s">
        <v>24</v>
      </c>
      <c r="Q38" t="s">
        <v>371</v>
      </c>
    </row>
    <row r="39" spans="1:18" x14ac:dyDescent="0.25">
      <c r="A39" t="s">
        <v>358</v>
      </c>
      <c r="B39" s="1" t="s">
        <v>158</v>
      </c>
      <c r="C39" s="1" t="s">
        <v>208</v>
      </c>
      <c r="D39" s="1" t="s">
        <v>258</v>
      </c>
      <c r="E39" s="1" t="s">
        <v>308</v>
      </c>
      <c r="F39">
        <v>4107</v>
      </c>
      <c r="L39">
        <v>0</v>
      </c>
      <c r="N39" s="37">
        <v>2</v>
      </c>
      <c r="O39" s="37">
        <v>43239</v>
      </c>
      <c r="Q39" t="s">
        <v>371</v>
      </c>
    </row>
    <row r="40" spans="1:18" x14ac:dyDescent="0.25">
      <c r="A40" t="s">
        <v>359</v>
      </c>
      <c r="B40" s="1" t="s">
        <v>159</v>
      </c>
      <c r="C40" s="1" t="s">
        <v>209</v>
      </c>
      <c r="D40" s="1" t="s">
        <v>259</v>
      </c>
      <c r="E40" s="1" t="s">
        <v>309</v>
      </c>
      <c r="F40">
        <v>4218</v>
      </c>
      <c r="K40" s="1"/>
      <c r="L40">
        <v>0</v>
      </c>
      <c r="N40" s="37">
        <v>2</v>
      </c>
      <c r="O40" s="37">
        <v>43138</v>
      </c>
      <c r="Q40" t="s">
        <v>371</v>
      </c>
    </row>
    <row r="41" spans="1:18" x14ac:dyDescent="0.25">
      <c r="A41" t="s">
        <v>360</v>
      </c>
      <c r="B41" s="1" t="s">
        <v>160</v>
      </c>
      <c r="C41" s="1" t="s">
        <v>210</v>
      </c>
      <c r="D41" s="1" t="s">
        <v>260</v>
      </c>
      <c r="E41" s="1" t="s">
        <v>310</v>
      </c>
      <c r="F41">
        <v>4329</v>
      </c>
      <c r="I41" t="s">
        <v>41</v>
      </c>
      <c r="J41" t="s">
        <v>21</v>
      </c>
      <c r="K41" t="s">
        <v>56</v>
      </c>
      <c r="L41">
        <v>121900</v>
      </c>
      <c r="M41" s="35" t="s">
        <v>39</v>
      </c>
      <c r="N41" s="37">
        <v>43664</v>
      </c>
      <c r="O41" s="37">
        <v>2</v>
      </c>
      <c r="Q41" t="s">
        <v>371</v>
      </c>
    </row>
    <row r="42" spans="1:18" x14ac:dyDescent="0.25">
      <c r="A42" t="s">
        <v>361</v>
      </c>
      <c r="B42" s="1" t="s">
        <v>161</v>
      </c>
      <c r="C42" s="1" t="s">
        <v>211</v>
      </c>
      <c r="D42" s="1" t="s">
        <v>261</v>
      </c>
      <c r="E42" s="1" t="s">
        <v>311</v>
      </c>
      <c r="F42">
        <v>4440</v>
      </c>
      <c r="L42">
        <v>0</v>
      </c>
      <c r="N42" s="37">
        <v>2</v>
      </c>
      <c r="O42" s="37">
        <v>42948</v>
      </c>
    </row>
    <row r="43" spans="1:18" x14ac:dyDescent="0.25">
      <c r="A43" t="s">
        <v>362</v>
      </c>
      <c r="B43" s="1" t="s">
        <v>162</v>
      </c>
      <c r="C43" s="1" t="s">
        <v>212</v>
      </c>
      <c r="D43" s="1" t="s">
        <v>262</v>
      </c>
      <c r="E43" s="1" t="s">
        <v>312</v>
      </c>
      <c r="F43">
        <v>4551</v>
      </c>
      <c r="L43">
        <v>0</v>
      </c>
      <c r="N43" s="37">
        <v>2</v>
      </c>
      <c r="O43" s="37">
        <v>43571</v>
      </c>
    </row>
    <row r="44" spans="1:18" x14ac:dyDescent="0.25">
      <c r="A44" t="s">
        <v>363</v>
      </c>
      <c r="B44" s="1" t="s">
        <v>163</v>
      </c>
      <c r="C44" s="1" t="s">
        <v>213</v>
      </c>
      <c r="D44" s="1" t="s">
        <v>263</v>
      </c>
      <c r="E44" s="1" t="s">
        <v>313</v>
      </c>
      <c r="F44">
        <v>4662</v>
      </c>
      <c r="L44">
        <v>0</v>
      </c>
      <c r="N44" s="37">
        <v>2</v>
      </c>
      <c r="O44" s="37">
        <v>43405</v>
      </c>
    </row>
    <row r="45" spans="1:18" x14ac:dyDescent="0.25">
      <c r="A45" t="s">
        <v>364</v>
      </c>
      <c r="B45" s="1" t="s">
        <v>164</v>
      </c>
      <c r="C45" s="1" t="s">
        <v>214</v>
      </c>
      <c r="D45" s="1" t="s">
        <v>264</v>
      </c>
      <c r="E45" s="1" t="s">
        <v>314</v>
      </c>
      <c r="F45">
        <v>4773</v>
      </c>
      <c r="L45">
        <v>0</v>
      </c>
      <c r="N45" s="37">
        <v>2</v>
      </c>
      <c r="O45" s="37">
        <v>43533</v>
      </c>
    </row>
    <row r="46" spans="1:18" x14ac:dyDescent="0.25">
      <c r="A46" t="s">
        <v>365</v>
      </c>
      <c r="B46" s="1" t="s">
        <v>165</v>
      </c>
      <c r="C46" s="1" t="s">
        <v>215</v>
      </c>
      <c r="D46" s="1" t="s">
        <v>265</v>
      </c>
      <c r="E46" s="1" t="s">
        <v>315</v>
      </c>
      <c r="F46">
        <v>4884</v>
      </c>
      <c r="L46">
        <v>0</v>
      </c>
      <c r="N46" s="37">
        <v>2</v>
      </c>
      <c r="O46" s="37">
        <v>43139</v>
      </c>
    </row>
    <row r="47" spans="1:18" x14ac:dyDescent="0.25">
      <c r="A47" t="s">
        <v>366</v>
      </c>
      <c r="B47" s="1" t="s">
        <v>166</v>
      </c>
      <c r="C47" s="1" t="s">
        <v>216</v>
      </c>
      <c r="D47" s="1" t="s">
        <v>266</v>
      </c>
      <c r="E47" s="1" t="s">
        <v>316</v>
      </c>
      <c r="F47">
        <v>4995</v>
      </c>
      <c r="I47" t="s">
        <v>42</v>
      </c>
      <c r="J47" t="s">
        <v>23</v>
      </c>
      <c r="K47" t="s">
        <v>58</v>
      </c>
      <c r="L47">
        <v>30000</v>
      </c>
      <c r="M47" s="35" t="s">
        <v>40</v>
      </c>
      <c r="N47" s="37">
        <v>43533</v>
      </c>
      <c r="O47" s="37">
        <v>2</v>
      </c>
      <c r="Q47" t="s">
        <v>43</v>
      </c>
      <c r="R47" t="s">
        <v>44</v>
      </c>
    </row>
    <row r="48" spans="1:18" x14ac:dyDescent="0.25">
      <c r="A48" t="s">
        <v>367</v>
      </c>
      <c r="B48" s="1" t="s">
        <v>167</v>
      </c>
      <c r="C48" s="1" t="s">
        <v>217</v>
      </c>
      <c r="D48" s="1" t="s">
        <v>267</v>
      </c>
      <c r="E48" s="1" t="s">
        <v>317</v>
      </c>
      <c r="F48">
        <v>5106</v>
      </c>
      <c r="G48" t="s">
        <v>50</v>
      </c>
      <c r="I48" t="s">
        <v>51</v>
      </c>
      <c r="J48" t="s">
        <v>52</v>
      </c>
      <c r="K48" t="s">
        <v>57</v>
      </c>
      <c r="L48">
        <v>150</v>
      </c>
      <c r="M48" s="35" t="s">
        <v>39</v>
      </c>
      <c r="N48" s="37">
        <v>43437</v>
      </c>
      <c r="O48" s="37">
        <v>2</v>
      </c>
      <c r="P48" t="s">
        <v>22</v>
      </c>
    </row>
    <row r="49" spans="1:16" x14ac:dyDescent="0.25">
      <c r="A49" t="s">
        <v>368</v>
      </c>
      <c r="B49" s="1" t="s">
        <v>168</v>
      </c>
      <c r="C49" s="1" t="s">
        <v>218</v>
      </c>
      <c r="D49" s="1" t="s">
        <v>268</v>
      </c>
      <c r="E49" s="1" t="s">
        <v>318</v>
      </c>
      <c r="F49">
        <v>5217</v>
      </c>
      <c r="L49">
        <v>0</v>
      </c>
      <c r="N49" s="37">
        <v>2</v>
      </c>
      <c r="O49" s="37">
        <v>43368</v>
      </c>
    </row>
    <row r="50" spans="1:16" x14ac:dyDescent="0.25">
      <c r="A50" t="s">
        <v>369</v>
      </c>
      <c r="B50" s="1" t="s">
        <v>169</v>
      </c>
      <c r="C50" s="1" t="s">
        <v>219</v>
      </c>
      <c r="D50" s="1" t="s">
        <v>269</v>
      </c>
      <c r="E50" s="1" t="s">
        <v>319</v>
      </c>
      <c r="F50">
        <v>5328</v>
      </c>
      <c r="J50" t="s">
        <v>21</v>
      </c>
      <c r="L50">
        <v>0</v>
      </c>
      <c r="M50" s="35" t="s">
        <v>39</v>
      </c>
      <c r="N50" s="37">
        <v>43636</v>
      </c>
      <c r="O50" s="37">
        <v>2</v>
      </c>
      <c r="P50" t="s">
        <v>22</v>
      </c>
    </row>
    <row r="51" spans="1:16" x14ac:dyDescent="0.25">
      <c r="A51" t="s">
        <v>370</v>
      </c>
      <c r="B51" s="1" t="s">
        <v>170</v>
      </c>
      <c r="C51" s="1" t="s">
        <v>220</v>
      </c>
      <c r="D51" s="1" t="s">
        <v>270</v>
      </c>
      <c r="E51" s="1" t="s">
        <v>320</v>
      </c>
      <c r="F51">
        <v>5439</v>
      </c>
      <c r="L51">
        <v>0</v>
      </c>
      <c r="N51" s="37">
        <v>2</v>
      </c>
      <c r="O51" s="37">
        <v>43600</v>
      </c>
    </row>
    <row r="52" spans="1:16" x14ac:dyDescent="0.25">
      <c r="N52" s="37"/>
      <c r="O52" s="37"/>
    </row>
    <row r="53" spans="1:16" x14ac:dyDescent="0.25">
      <c r="N53" s="37"/>
      <c r="O53" s="37"/>
    </row>
    <row r="54" spans="1:16" x14ac:dyDescent="0.25">
      <c r="N54" s="37"/>
      <c r="O54" s="37"/>
    </row>
    <row r="55" spans="1:16" x14ac:dyDescent="0.25">
      <c r="N55" s="37"/>
      <c r="O55" s="37"/>
    </row>
    <row r="56" spans="1:16" x14ac:dyDescent="0.25">
      <c r="N56" s="37"/>
      <c r="O56" s="37"/>
    </row>
    <row r="57" spans="1:16" x14ac:dyDescent="0.25">
      <c r="N57" s="37"/>
      <c r="O57" s="37"/>
    </row>
    <row r="58" spans="1:16" x14ac:dyDescent="0.25">
      <c r="N58" s="37"/>
      <c r="O58" s="37"/>
    </row>
    <row r="59" spans="1:16" x14ac:dyDescent="0.25">
      <c r="N59" s="37"/>
      <c r="O59" s="37"/>
    </row>
    <row r="60" spans="1:16" x14ac:dyDescent="0.25">
      <c r="N60" s="37"/>
      <c r="O60" s="37"/>
    </row>
    <row r="61" spans="1:16" x14ac:dyDescent="0.25">
      <c r="N61" s="37"/>
      <c r="O61" s="37"/>
    </row>
    <row r="62" spans="1:16" x14ac:dyDescent="0.25">
      <c r="N62" s="37"/>
      <c r="O62" s="37"/>
    </row>
    <row r="63" spans="1:16" x14ac:dyDescent="0.25">
      <c r="N63" s="37"/>
      <c r="O63" s="37"/>
    </row>
    <row r="64" spans="1:16" x14ac:dyDescent="0.25">
      <c r="N64" s="37"/>
      <c r="O64" s="37"/>
    </row>
    <row r="65" spans="14:15" x14ac:dyDescent="0.25">
      <c r="N65" s="37"/>
      <c r="O65" s="37"/>
    </row>
    <row r="66" spans="14:15" x14ac:dyDescent="0.25">
      <c r="N66" s="37"/>
      <c r="O66" s="37"/>
    </row>
    <row r="67" spans="14:15" x14ac:dyDescent="0.25">
      <c r="N67" s="37"/>
      <c r="O67" s="37"/>
    </row>
    <row r="68" spans="14:15" x14ac:dyDescent="0.25">
      <c r="N68" s="37"/>
      <c r="O68" s="37"/>
    </row>
    <row r="69" spans="14:15" x14ac:dyDescent="0.25">
      <c r="N69" s="37"/>
      <c r="O69" s="37"/>
    </row>
    <row r="70" spans="14:15" x14ac:dyDescent="0.25">
      <c r="N70" s="37"/>
      <c r="O70" s="37"/>
    </row>
    <row r="71" spans="14:15" x14ac:dyDescent="0.25">
      <c r="N71" s="37"/>
      <c r="O71" s="37"/>
    </row>
    <row r="72" spans="14:15" x14ac:dyDescent="0.25">
      <c r="N72" s="37"/>
      <c r="O72" s="37"/>
    </row>
    <row r="73" spans="14:15" x14ac:dyDescent="0.25">
      <c r="N73" s="37"/>
      <c r="O73" s="37"/>
    </row>
    <row r="74" spans="14:15" x14ac:dyDescent="0.25">
      <c r="N74" s="37"/>
      <c r="O74" s="37"/>
    </row>
    <row r="75" spans="14:15" x14ac:dyDescent="0.25">
      <c r="N75" s="37"/>
      <c r="O75" s="37"/>
    </row>
    <row r="76" spans="14:15" x14ac:dyDescent="0.25">
      <c r="N76" s="37"/>
      <c r="O76" s="37"/>
    </row>
    <row r="77" spans="14:15" x14ac:dyDescent="0.25">
      <c r="N77" s="37"/>
      <c r="O77" s="37"/>
    </row>
    <row r="78" spans="14:15" x14ac:dyDescent="0.25">
      <c r="N78" s="37"/>
      <c r="O78" s="37"/>
    </row>
    <row r="79" spans="14:15" x14ac:dyDescent="0.25">
      <c r="N79" s="37"/>
      <c r="O79" s="37"/>
    </row>
    <row r="80" spans="14:15" x14ac:dyDescent="0.25">
      <c r="N80" s="37"/>
      <c r="O80" s="37"/>
    </row>
    <row r="81" spans="14:15" x14ac:dyDescent="0.25">
      <c r="N81" s="37"/>
      <c r="O81" s="37"/>
    </row>
    <row r="82" spans="14:15" x14ac:dyDescent="0.25">
      <c r="N82" s="37"/>
      <c r="O82" s="37"/>
    </row>
    <row r="83" spans="14:15" x14ac:dyDescent="0.25">
      <c r="N83" s="37"/>
      <c r="O83" s="37"/>
    </row>
    <row r="84" spans="14:15" x14ac:dyDescent="0.25">
      <c r="N84" s="37"/>
      <c r="O84" s="37"/>
    </row>
    <row r="85" spans="14:15" x14ac:dyDescent="0.25">
      <c r="N85" s="37"/>
      <c r="O85" s="37"/>
    </row>
    <row r="86" spans="14:15" x14ac:dyDescent="0.25">
      <c r="N86" s="37"/>
      <c r="O86" s="37"/>
    </row>
    <row r="87" spans="14:15" x14ac:dyDescent="0.25">
      <c r="N87" s="37"/>
      <c r="O87" s="37"/>
    </row>
    <row r="88" spans="14:15" x14ac:dyDescent="0.25">
      <c r="N88" s="37"/>
      <c r="O88" s="37"/>
    </row>
    <row r="89" spans="14:15" x14ac:dyDescent="0.25">
      <c r="N89" s="37"/>
      <c r="O89" s="37"/>
    </row>
    <row r="90" spans="14:15" x14ac:dyDescent="0.25">
      <c r="N90" s="37"/>
      <c r="O90" s="37"/>
    </row>
    <row r="91" spans="14:15" x14ac:dyDescent="0.25">
      <c r="N91" s="37"/>
      <c r="O91" s="37"/>
    </row>
    <row r="92" spans="14:15" x14ac:dyDescent="0.25">
      <c r="N92" s="37"/>
      <c r="O92" s="37"/>
    </row>
    <row r="93" spans="14:15" x14ac:dyDescent="0.25">
      <c r="N93" s="37"/>
      <c r="O93" s="37"/>
    </row>
    <row r="94" spans="14:15" x14ac:dyDescent="0.25">
      <c r="N94" s="37"/>
      <c r="O94" s="37"/>
    </row>
    <row r="95" spans="14:15" x14ac:dyDescent="0.25">
      <c r="N95" s="37"/>
      <c r="O95" s="37"/>
    </row>
    <row r="96" spans="14:15" x14ac:dyDescent="0.25">
      <c r="N96" s="37"/>
      <c r="O96" s="37"/>
    </row>
    <row r="97" spans="14:15" x14ac:dyDescent="0.25">
      <c r="N97" s="37"/>
      <c r="O97" s="37"/>
    </row>
    <row r="98" spans="14:15" x14ac:dyDescent="0.25">
      <c r="N98" s="37"/>
      <c r="O98" s="37"/>
    </row>
    <row r="99" spans="14:15" x14ac:dyDescent="0.25">
      <c r="N99" s="37"/>
      <c r="O99" s="37"/>
    </row>
    <row r="100" spans="14:15" x14ac:dyDescent="0.25">
      <c r="N100" s="37"/>
      <c r="O100" s="37"/>
    </row>
    <row r="101" spans="14:15" x14ac:dyDescent="0.25">
      <c r="N101" s="37"/>
      <c r="O101" s="37"/>
    </row>
    <row r="102" spans="14:15" x14ac:dyDescent="0.25">
      <c r="N102" s="37"/>
      <c r="O102" s="37"/>
    </row>
    <row r="103" spans="14:15" x14ac:dyDescent="0.25">
      <c r="N103" s="37"/>
      <c r="O103" s="37"/>
    </row>
    <row r="104" spans="14:15" x14ac:dyDescent="0.25">
      <c r="N104" s="37"/>
      <c r="O104" s="37"/>
    </row>
    <row r="105" spans="14:15" x14ac:dyDescent="0.25">
      <c r="N105" s="37"/>
      <c r="O105" s="37"/>
    </row>
    <row r="106" spans="14:15" x14ac:dyDescent="0.25">
      <c r="N106" s="37"/>
      <c r="O106" s="37"/>
    </row>
    <row r="107" spans="14:15" x14ac:dyDescent="0.25">
      <c r="N107" s="37"/>
      <c r="O107" s="37"/>
    </row>
    <row r="108" spans="14:15" x14ac:dyDescent="0.25">
      <c r="N108" s="37"/>
      <c r="O108" s="37"/>
    </row>
    <row r="109" spans="14:15" x14ac:dyDescent="0.25">
      <c r="N109" s="37"/>
      <c r="O109" s="37"/>
    </row>
    <row r="110" spans="14:15" x14ac:dyDescent="0.25">
      <c r="N110" s="37"/>
      <c r="O110" s="37"/>
    </row>
    <row r="111" spans="14:15" x14ac:dyDescent="0.25">
      <c r="N111" s="37"/>
      <c r="O111" s="37"/>
    </row>
    <row r="112" spans="14:15" x14ac:dyDescent="0.25">
      <c r="N112" s="37"/>
      <c r="O112" s="37"/>
    </row>
    <row r="113" spans="14:15" x14ac:dyDescent="0.25">
      <c r="N113" s="37"/>
      <c r="O113" s="37"/>
    </row>
    <row r="114" spans="14:15" x14ac:dyDescent="0.25">
      <c r="N114" s="37"/>
      <c r="O114" s="37"/>
    </row>
    <row r="115" spans="14:15" x14ac:dyDescent="0.25">
      <c r="N115" s="37"/>
      <c r="O115" s="37"/>
    </row>
    <row r="116" spans="14:15" x14ac:dyDescent="0.25">
      <c r="N116" s="37"/>
      <c r="O116" s="37"/>
    </row>
    <row r="117" spans="14:15" x14ac:dyDescent="0.25">
      <c r="N117" s="37"/>
      <c r="O117" s="37"/>
    </row>
    <row r="118" spans="14:15" x14ac:dyDescent="0.25">
      <c r="N118" s="37"/>
      <c r="O118" s="37"/>
    </row>
    <row r="119" spans="14:15" x14ac:dyDescent="0.25">
      <c r="N119" s="37"/>
      <c r="O119" s="37"/>
    </row>
    <row r="120" spans="14:15" x14ac:dyDescent="0.25">
      <c r="N120" s="37"/>
      <c r="O120" s="37"/>
    </row>
    <row r="121" spans="14:15" x14ac:dyDescent="0.25">
      <c r="N121" s="37"/>
      <c r="O121" s="37"/>
    </row>
    <row r="122" spans="14:15" x14ac:dyDescent="0.25">
      <c r="N122" s="37"/>
      <c r="O122" s="37"/>
    </row>
    <row r="123" spans="14:15" x14ac:dyDescent="0.25">
      <c r="N123" s="37"/>
      <c r="O123" s="37"/>
    </row>
    <row r="124" spans="14:15" x14ac:dyDescent="0.25">
      <c r="N124" s="37"/>
      <c r="O124" s="37"/>
    </row>
    <row r="125" spans="14:15" x14ac:dyDescent="0.25">
      <c r="N125" s="37"/>
      <c r="O125" s="37"/>
    </row>
    <row r="126" spans="14:15" x14ac:dyDescent="0.25">
      <c r="N126" s="37"/>
      <c r="O126" s="37"/>
    </row>
    <row r="127" spans="14:15" x14ac:dyDescent="0.25">
      <c r="N127" s="37"/>
      <c r="O127" s="37"/>
    </row>
    <row r="128" spans="14:15" x14ac:dyDescent="0.25">
      <c r="N128" s="37"/>
      <c r="O128" s="37"/>
    </row>
    <row r="129" spans="14:15" x14ac:dyDescent="0.25">
      <c r="N129" s="37"/>
      <c r="O129" s="37"/>
    </row>
    <row r="130" spans="14:15" x14ac:dyDescent="0.25">
      <c r="N130" s="37"/>
      <c r="O130" s="37"/>
    </row>
    <row r="131" spans="14:15" x14ac:dyDescent="0.25">
      <c r="N131" s="37"/>
      <c r="O131" s="37"/>
    </row>
    <row r="132" spans="14:15" x14ac:dyDescent="0.25">
      <c r="N132" s="37"/>
      <c r="O132" s="37"/>
    </row>
    <row r="133" spans="14:15" x14ac:dyDescent="0.25">
      <c r="N133" s="37"/>
      <c r="O133" s="37"/>
    </row>
    <row r="134" spans="14:15" x14ac:dyDescent="0.25">
      <c r="N134" s="37"/>
      <c r="O134" s="37"/>
    </row>
    <row r="135" spans="14:15" x14ac:dyDescent="0.25">
      <c r="N135" s="37"/>
      <c r="O135" s="37"/>
    </row>
    <row r="136" spans="14:15" x14ac:dyDescent="0.25">
      <c r="N136" s="37"/>
      <c r="O136" s="37"/>
    </row>
    <row r="137" spans="14:15" x14ac:dyDescent="0.25">
      <c r="N137" s="37"/>
      <c r="O137" s="37"/>
    </row>
    <row r="138" spans="14:15" x14ac:dyDescent="0.25">
      <c r="N138" s="37"/>
      <c r="O138" s="37"/>
    </row>
    <row r="139" spans="14:15" x14ac:dyDescent="0.25">
      <c r="N139" s="37"/>
      <c r="O139" s="37"/>
    </row>
    <row r="140" spans="14:15" x14ac:dyDescent="0.25">
      <c r="N140" s="37"/>
      <c r="O140" s="37"/>
    </row>
    <row r="141" spans="14:15" x14ac:dyDescent="0.25">
      <c r="N141" s="37"/>
      <c r="O141" s="37"/>
    </row>
    <row r="142" spans="14:15" x14ac:dyDescent="0.25">
      <c r="N142" s="37"/>
      <c r="O142" s="37"/>
    </row>
    <row r="143" spans="14:15" x14ac:dyDescent="0.25">
      <c r="N143" s="37"/>
      <c r="O143" s="37"/>
    </row>
    <row r="144" spans="14:15" x14ac:dyDescent="0.25">
      <c r="N144" s="37"/>
      <c r="O144" s="37"/>
    </row>
    <row r="145" spans="14:15" x14ac:dyDescent="0.25">
      <c r="N145" s="37"/>
      <c r="O145" s="37"/>
    </row>
    <row r="146" spans="14:15" x14ac:dyDescent="0.25">
      <c r="N146" s="37"/>
      <c r="O146" s="37"/>
    </row>
    <row r="147" spans="14:15" x14ac:dyDescent="0.25">
      <c r="N147" s="37"/>
      <c r="O147" s="37"/>
    </row>
    <row r="148" spans="14:15" x14ac:dyDescent="0.25">
      <c r="N148" s="37"/>
      <c r="O148" s="37"/>
    </row>
    <row r="149" spans="14:15" x14ac:dyDescent="0.25">
      <c r="N149" s="37"/>
      <c r="O149" s="37"/>
    </row>
    <row r="150" spans="14:15" x14ac:dyDescent="0.25">
      <c r="N150" s="37"/>
      <c r="O150" s="37"/>
    </row>
    <row r="151" spans="14:15" x14ac:dyDescent="0.25">
      <c r="N151" s="37"/>
      <c r="O151" s="37"/>
    </row>
    <row r="152" spans="14:15" x14ac:dyDescent="0.25">
      <c r="N152" s="37"/>
      <c r="O152" s="37"/>
    </row>
    <row r="153" spans="14:15" x14ac:dyDescent="0.25">
      <c r="N153" s="37"/>
      <c r="O153" s="37"/>
    </row>
    <row r="154" spans="14:15" x14ac:dyDescent="0.25">
      <c r="N154" s="37"/>
      <c r="O154" s="37"/>
    </row>
    <row r="155" spans="14:15" x14ac:dyDescent="0.25">
      <c r="N155" s="37"/>
      <c r="O155" s="37"/>
    </row>
    <row r="156" spans="14:15" x14ac:dyDescent="0.25">
      <c r="N156" s="37"/>
      <c r="O156" s="37"/>
    </row>
    <row r="157" spans="14:15" x14ac:dyDescent="0.25">
      <c r="N157" s="37"/>
      <c r="O157" s="37"/>
    </row>
    <row r="158" spans="14:15" x14ac:dyDescent="0.25">
      <c r="N158" s="37"/>
      <c r="O158" s="37"/>
    </row>
    <row r="159" spans="14:15" x14ac:dyDescent="0.25">
      <c r="N159" s="37"/>
      <c r="O159" s="37"/>
    </row>
    <row r="160" spans="14:15" x14ac:dyDescent="0.25">
      <c r="N160" s="37"/>
      <c r="O160" s="37"/>
    </row>
    <row r="161" spans="14:15" x14ac:dyDescent="0.25">
      <c r="N161" s="37"/>
      <c r="O161" s="37"/>
    </row>
    <row r="162" spans="14:15" x14ac:dyDescent="0.25">
      <c r="N162" s="37"/>
      <c r="O162" s="37"/>
    </row>
    <row r="163" spans="14:15" x14ac:dyDescent="0.25">
      <c r="N163" s="37"/>
      <c r="O163" s="37"/>
    </row>
    <row r="164" spans="14:15" x14ac:dyDescent="0.25">
      <c r="N164" s="37"/>
      <c r="O164" s="37"/>
    </row>
    <row r="165" spans="14:15" x14ac:dyDescent="0.25">
      <c r="N165" s="37"/>
      <c r="O165" s="37"/>
    </row>
    <row r="166" spans="14:15" x14ac:dyDescent="0.25">
      <c r="N166" s="37"/>
      <c r="O166" s="37"/>
    </row>
    <row r="167" spans="14:15" x14ac:dyDescent="0.25">
      <c r="N167" s="37"/>
      <c r="O167" s="37"/>
    </row>
    <row r="168" spans="14:15" x14ac:dyDescent="0.25">
      <c r="N168" s="37"/>
      <c r="O168" s="37"/>
    </row>
    <row r="169" spans="14:15" x14ac:dyDescent="0.25">
      <c r="N169" s="37"/>
      <c r="O169" s="37"/>
    </row>
    <row r="170" spans="14:15" x14ac:dyDescent="0.25">
      <c r="N170" s="37"/>
      <c r="O170" s="37"/>
    </row>
    <row r="171" spans="14:15" x14ac:dyDescent="0.25">
      <c r="N171" s="37"/>
      <c r="O171" s="37"/>
    </row>
    <row r="172" spans="14:15" x14ac:dyDescent="0.25">
      <c r="N172" s="37"/>
      <c r="O172" s="37"/>
    </row>
    <row r="173" spans="14:15" x14ac:dyDescent="0.25">
      <c r="N173" s="37"/>
      <c r="O173" s="37"/>
    </row>
    <row r="174" spans="14:15" x14ac:dyDescent="0.25">
      <c r="N174" s="37"/>
      <c r="O174" s="37"/>
    </row>
    <row r="175" spans="14:15" x14ac:dyDescent="0.25">
      <c r="N175" s="37"/>
      <c r="O175" s="37"/>
    </row>
    <row r="176" spans="14:15" x14ac:dyDescent="0.25">
      <c r="N176" s="37"/>
      <c r="O176" s="37"/>
    </row>
    <row r="177" spans="14:15" x14ac:dyDescent="0.25">
      <c r="N177" s="37"/>
      <c r="O177" s="37"/>
    </row>
    <row r="178" spans="14:15" x14ac:dyDescent="0.25">
      <c r="N178" s="37"/>
      <c r="O178" s="37"/>
    </row>
    <row r="179" spans="14:15" x14ac:dyDescent="0.25">
      <c r="N179" s="37"/>
      <c r="O179" s="37"/>
    </row>
    <row r="180" spans="14:15" x14ac:dyDescent="0.25">
      <c r="N180" s="37"/>
      <c r="O180" s="37"/>
    </row>
    <row r="181" spans="14:15" x14ac:dyDescent="0.25">
      <c r="N181" s="37"/>
      <c r="O181" s="37"/>
    </row>
    <row r="182" spans="14:15" x14ac:dyDescent="0.25">
      <c r="N182" s="37"/>
      <c r="O182" s="37"/>
    </row>
    <row r="183" spans="14:15" x14ac:dyDescent="0.25">
      <c r="N183" s="37"/>
      <c r="O183" s="37"/>
    </row>
    <row r="184" spans="14:15" x14ac:dyDescent="0.25">
      <c r="N184" s="37"/>
      <c r="O184" s="37"/>
    </row>
    <row r="185" spans="14:15" x14ac:dyDescent="0.25">
      <c r="N185" s="37"/>
      <c r="O185" s="37"/>
    </row>
    <row r="186" spans="14:15" x14ac:dyDescent="0.25">
      <c r="N186" s="37"/>
      <c r="O186" s="37"/>
    </row>
    <row r="187" spans="14:15" x14ac:dyDescent="0.25">
      <c r="N187" s="37"/>
      <c r="O187" s="37"/>
    </row>
    <row r="188" spans="14:15" x14ac:dyDescent="0.25">
      <c r="N188" s="37"/>
      <c r="O188" s="37"/>
    </row>
    <row r="189" spans="14:15" x14ac:dyDescent="0.25">
      <c r="N189" s="37"/>
      <c r="O189" s="37"/>
    </row>
    <row r="190" spans="14:15" x14ac:dyDescent="0.25">
      <c r="N190" s="37"/>
      <c r="O190" s="37"/>
    </row>
    <row r="191" spans="14:15" x14ac:dyDescent="0.25">
      <c r="N191" s="37"/>
      <c r="O191" s="37"/>
    </row>
    <row r="192" spans="14:15" x14ac:dyDescent="0.25">
      <c r="N192" s="37"/>
      <c r="O192" s="37"/>
    </row>
    <row r="193" spans="14:15" x14ac:dyDescent="0.25">
      <c r="N193" s="37"/>
      <c r="O193" s="37"/>
    </row>
    <row r="194" spans="14:15" x14ac:dyDescent="0.25">
      <c r="N194" s="37"/>
      <c r="O194" s="37"/>
    </row>
    <row r="195" spans="14:15" x14ac:dyDescent="0.25">
      <c r="N195" s="37"/>
      <c r="O195" s="37"/>
    </row>
    <row r="196" spans="14:15" x14ac:dyDescent="0.25">
      <c r="N196" s="37"/>
      <c r="O196" s="37"/>
    </row>
    <row r="197" spans="14:15" x14ac:dyDescent="0.25">
      <c r="N197" s="37"/>
      <c r="O197" s="37"/>
    </row>
    <row r="198" spans="14:15" x14ac:dyDescent="0.25">
      <c r="N198" s="37"/>
      <c r="O198" s="37"/>
    </row>
    <row r="199" spans="14:15" x14ac:dyDescent="0.25">
      <c r="N199" s="37"/>
      <c r="O199" s="37"/>
    </row>
    <row r="200" spans="14:15" x14ac:dyDescent="0.25">
      <c r="N200" s="37"/>
      <c r="O200" s="37"/>
    </row>
    <row r="201" spans="14:15" x14ac:dyDescent="0.25">
      <c r="N201" s="37"/>
      <c r="O201" s="37"/>
    </row>
    <row r="202" spans="14:15" x14ac:dyDescent="0.25">
      <c r="N202" s="37"/>
      <c r="O202" s="37"/>
    </row>
    <row r="203" spans="14:15" x14ac:dyDescent="0.25">
      <c r="N203" s="37"/>
      <c r="O203" s="37"/>
    </row>
    <row r="204" spans="14:15" x14ac:dyDescent="0.25">
      <c r="N204" s="37"/>
      <c r="O204" s="37"/>
    </row>
    <row r="205" spans="14:15" x14ac:dyDescent="0.25">
      <c r="N205" s="37"/>
      <c r="O205" s="37"/>
    </row>
    <row r="206" spans="14:15" x14ac:dyDescent="0.25">
      <c r="N206" s="37"/>
      <c r="O206" s="37"/>
    </row>
    <row r="207" spans="14:15" x14ac:dyDescent="0.25">
      <c r="N207" s="37"/>
      <c r="O207" s="37"/>
    </row>
    <row r="208" spans="14:15" x14ac:dyDescent="0.25">
      <c r="N208" s="37"/>
      <c r="O208" s="37"/>
    </row>
    <row r="209" spans="14:15" x14ac:dyDescent="0.25">
      <c r="N209" s="37"/>
      <c r="O209" s="37"/>
    </row>
    <row r="210" spans="14:15" x14ac:dyDescent="0.25">
      <c r="N210" s="37"/>
      <c r="O210" s="37"/>
    </row>
    <row r="211" spans="14:15" x14ac:dyDescent="0.25">
      <c r="N211" s="37"/>
      <c r="O211" s="37"/>
    </row>
    <row r="212" spans="14:15" x14ac:dyDescent="0.25">
      <c r="N212" s="37"/>
      <c r="O212" s="37"/>
    </row>
    <row r="213" spans="14:15" x14ac:dyDescent="0.25">
      <c r="N213" s="37"/>
      <c r="O213" s="37"/>
    </row>
    <row r="214" spans="14:15" x14ac:dyDescent="0.25">
      <c r="N214" s="37"/>
      <c r="O214" s="37"/>
    </row>
    <row r="215" spans="14:15" x14ac:dyDescent="0.25">
      <c r="N215" s="37"/>
      <c r="O215" s="37"/>
    </row>
    <row r="216" spans="14:15" x14ac:dyDescent="0.25">
      <c r="N216" s="37"/>
      <c r="O216" s="37"/>
    </row>
    <row r="217" spans="14:15" x14ac:dyDescent="0.25">
      <c r="N217" s="37"/>
      <c r="O217" s="37"/>
    </row>
    <row r="218" spans="14:15" x14ac:dyDescent="0.25">
      <c r="N218" s="37"/>
      <c r="O218" s="37"/>
    </row>
    <row r="219" spans="14:15" x14ac:dyDescent="0.25">
      <c r="N219" s="37"/>
      <c r="O219" s="37"/>
    </row>
    <row r="220" spans="14:15" x14ac:dyDescent="0.25">
      <c r="N220" s="37"/>
      <c r="O220" s="37"/>
    </row>
    <row r="221" spans="14:15" x14ac:dyDescent="0.25">
      <c r="N221" s="37"/>
      <c r="O221" s="37"/>
    </row>
    <row r="222" spans="14:15" x14ac:dyDescent="0.25">
      <c r="N222" s="37"/>
      <c r="O222" s="37"/>
    </row>
    <row r="223" spans="14:15" x14ac:dyDescent="0.25">
      <c r="N223" s="37"/>
      <c r="O223" s="37"/>
    </row>
    <row r="224" spans="14:15" x14ac:dyDescent="0.25">
      <c r="N224" s="37"/>
      <c r="O224" s="37"/>
    </row>
    <row r="225" spans="14:15" x14ac:dyDescent="0.25">
      <c r="N225" s="37"/>
      <c r="O225" s="37"/>
    </row>
    <row r="226" spans="14:15" x14ac:dyDescent="0.25">
      <c r="N226" s="37"/>
      <c r="O226" s="37"/>
    </row>
    <row r="227" spans="14:15" x14ac:dyDescent="0.25">
      <c r="N227" s="37"/>
      <c r="O227" s="37"/>
    </row>
    <row r="228" spans="14:15" x14ac:dyDescent="0.25">
      <c r="N228" s="37"/>
      <c r="O228" s="37"/>
    </row>
    <row r="229" spans="14:15" x14ac:dyDescent="0.25">
      <c r="N229" s="37"/>
      <c r="O229" s="37"/>
    </row>
    <row r="230" spans="14:15" x14ac:dyDescent="0.25">
      <c r="N230" s="37"/>
      <c r="O230" s="37"/>
    </row>
    <row r="231" spans="14:15" x14ac:dyDescent="0.25">
      <c r="N231" s="37"/>
      <c r="O231" s="37"/>
    </row>
    <row r="232" spans="14:15" x14ac:dyDescent="0.25">
      <c r="N232" s="37"/>
      <c r="O232" s="37"/>
    </row>
    <row r="233" spans="14:15" x14ac:dyDescent="0.25">
      <c r="N233" s="37"/>
      <c r="O233" s="37"/>
    </row>
    <row r="234" spans="14:15" x14ac:dyDescent="0.25">
      <c r="N234" s="37"/>
      <c r="O234" s="37"/>
    </row>
    <row r="235" spans="14:15" x14ac:dyDescent="0.25">
      <c r="N235" s="37"/>
      <c r="O235" s="37"/>
    </row>
    <row r="236" spans="14:15" x14ac:dyDescent="0.25">
      <c r="N236" s="37"/>
      <c r="O236" s="37"/>
    </row>
    <row r="237" spans="14:15" x14ac:dyDescent="0.25">
      <c r="N237" s="37"/>
      <c r="O237" s="37"/>
    </row>
    <row r="238" spans="14:15" x14ac:dyDescent="0.25">
      <c r="N238" s="37"/>
      <c r="O238" s="37"/>
    </row>
    <row r="239" spans="14:15" x14ac:dyDescent="0.25">
      <c r="N239" s="37"/>
      <c r="O239" s="37"/>
    </row>
    <row r="240" spans="14:15" x14ac:dyDescent="0.25">
      <c r="N240" s="37"/>
      <c r="O240" s="37"/>
    </row>
    <row r="241" spans="14:15" x14ac:dyDescent="0.25">
      <c r="N241" s="37"/>
      <c r="O241" s="37"/>
    </row>
    <row r="242" spans="14:15" x14ac:dyDescent="0.25">
      <c r="N242" s="37"/>
      <c r="O242" s="37"/>
    </row>
    <row r="243" spans="14:15" x14ac:dyDescent="0.25">
      <c r="N243" s="37"/>
      <c r="O243" s="37"/>
    </row>
    <row r="244" spans="14:15" x14ac:dyDescent="0.25">
      <c r="N244" s="37"/>
      <c r="O244" s="37"/>
    </row>
    <row r="245" spans="14:15" x14ac:dyDescent="0.25">
      <c r="N245" s="37"/>
      <c r="O245" s="37"/>
    </row>
    <row r="246" spans="14:15" x14ac:dyDescent="0.25">
      <c r="N246" s="37"/>
      <c r="O246" s="37"/>
    </row>
    <row r="247" spans="14:15" x14ac:dyDescent="0.25">
      <c r="N247" s="37"/>
      <c r="O247" s="37"/>
    </row>
    <row r="248" spans="14:15" x14ac:dyDescent="0.25">
      <c r="N248" s="37"/>
      <c r="O248" s="37"/>
    </row>
    <row r="249" spans="14:15" x14ac:dyDescent="0.25">
      <c r="N249" s="37"/>
      <c r="O249" s="37"/>
    </row>
    <row r="250" spans="14:15" x14ac:dyDescent="0.25">
      <c r="N250" s="37"/>
      <c r="O250" s="37"/>
    </row>
    <row r="251" spans="14:15" x14ac:dyDescent="0.25">
      <c r="N251" s="37"/>
      <c r="O251" s="37"/>
    </row>
    <row r="252" spans="14:15" x14ac:dyDescent="0.25">
      <c r="N252" s="37"/>
      <c r="O252" s="37"/>
    </row>
    <row r="253" spans="14:15" x14ac:dyDescent="0.25">
      <c r="N253" s="37"/>
      <c r="O253" s="37"/>
    </row>
    <row r="254" spans="14:15" x14ac:dyDescent="0.25">
      <c r="N254" s="37"/>
      <c r="O254" s="37"/>
    </row>
    <row r="255" spans="14:15" x14ac:dyDescent="0.25">
      <c r="N255" s="37"/>
      <c r="O255" s="37"/>
    </row>
    <row r="256" spans="14:15" x14ac:dyDescent="0.25">
      <c r="N256" s="37"/>
      <c r="O256" s="37"/>
    </row>
    <row r="257" spans="14:15" x14ac:dyDescent="0.25">
      <c r="N257" s="37"/>
      <c r="O257" s="37"/>
    </row>
    <row r="258" spans="14:15" x14ac:dyDescent="0.25">
      <c r="N258" s="37"/>
      <c r="O258" s="37"/>
    </row>
    <row r="259" spans="14:15" x14ac:dyDescent="0.25">
      <c r="N259" s="37"/>
      <c r="O259" s="37"/>
    </row>
    <row r="260" spans="14:15" x14ac:dyDescent="0.25">
      <c r="N260" s="37"/>
      <c r="O260" s="37"/>
    </row>
    <row r="261" spans="14:15" x14ac:dyDescent="0.25">
      <c r="N261" s="37"/>
      <c r="O261" s="37"/>
    </row>
    <row r="262" spans="14:15" x14ac:dyDescent="0.25">
      <c r="N262" s="37"/>
      <c r="O262" s="37"/>
    </row>
    <row r="263" spans="14:15" x14ac:dyDescent="0.25">
      <c r="N263" s="37"/>
      <c r="O263" s="37"/>
    </row>
    <row r="264" spans="14:15" x14ac:dyDescent="0.25">
      <c r="N264" s="37"/>
      <c r="O264" s="37"/>
    </row>
    <row r="265" spans="14:15" x14ac:dyDescent="0.25">
      <c r="N265" s="37"/>
      <c r="O265" s="37"/>
    </row>
    <row r="266" spans="14:15" x14ac:dyDescent="0.25">
      <c r="N266" s="37"/>
      <c r="O266" s="37"/>
    </row>
    <row r="267" spans="14:15" x14ac:dyDescent="0.25">
      <c r="N267" s="37"/>
      <c r="O267" s="37"/>
    </row>
    <row r="268" spans="14:15" x14ac:dyDescent="0.25">
      <c r="N268" s="37"/>
      <c r="O268" s="37"/>
    </row>
    <row r="269" spans="14:15" x14ac:dyDescent="0.25">
      <c r="N269" s="37"/>
      <c r="O269" s="37"/>
    </row>
    <row r="270" spans="14:15" x14ac:dyDescent="0.25">
      <c r="N270" s="37"/>
      <c r="O270" s="37"/>
    </row>
    <row r="271" spans="14:15" x14ac:dyDescent="0.25">
      <c r="N271" s="37"/>
      <c r="O271" s="37"/>
    </row>
    <row r="272" spans="14:15" x14ac:dyDescent="0.25">
      <c r="N272" s="37"/>
      <c r="O272" s="37"/>
    </row>
    <row r="273" spans="14:15" x14ac:dyDescent="0.25">
      <c r="N273" s="37"/>
      <c r="O273" s="37"/>
    </row>
    <row r="274" spans="14:15" x14ac:dyDescent="0.25">
      <c r="N274" s="37"/>
      <c r="O274" s="37"/>
    </row>
    <row r="275" spans="14:15" x14ac:dyDescent="0.25">
      <c r="N275" s="37"/>
      <c r="O275" s="37"/>
    </row>
    <row r="276" spans="14:15" x14ac:dyDescent="0.25">
      <c r="N276" s="37"/>
      <c r="O276" s="37"/>
    </row>
    <row r="277" spans="14:15" x14ac:dyDescent="0.25">
      <c r="N277" s="37"/>
      <c r="O277" s="37"/>
    </row>
    <row r="278" spans="14:15" x14ac:dyDescent="0.25">
      <c r="N278" s="37"/>
      <c r="O278" s="37"/>
    </row>
    <row r="279" spans="14:15" x14ac:dyDescent="0.25">
      <c r="N279" s="37"/>
      <c r="O279" s="37"/>
    </row>
    <row r="280" spans="14:15" x14ac:dyDescent="0.25">
      <c r="N280" s="37"/>
      <c r="O280" s="37"/>
    </row>
    <row r="281" spans="14:15" x14ac:dyDescent="0.25">
      <c r="N281" s="37"/>
      <c r="O281" s="37"/>
    </row>
    <row r="282" spans="14:15" x14ac:dyDescent="0.25">
      <c r="N282" s="37"/>
      <c r="O282" s="37"/>
    </row>
    <row r="283" spans="14:15" x14ac:dyDescent="0.25">
      <c r="N283" s="37"/>
      <c r="O283" s="37"/>
    </row>
    <row r="284" spans="14:15" x14ac:dyDescent="0.25">
      <c r="N284" s="37"/>
      <c r="O284" s="37"/>
    </row>
    <row r="285" spans="14:15" x14ac:dyDescent="0.25">
      <c r="N285" s="37"/>
      <c r="O285" s="37"/>
    </row>
    <row r="286" spans="14:15" x14ac:dyDescent="0.25">
      <c r="N286" s="37"/>
      <c r="O286" s="37"/>
    </row>
    <row r="287" spans="14:15" x14ac:dyDescent="0.25">
      <c r="N287" s="37"/>
      <c r="O287" s="37"/>
    </row>
    <row r="288" spans="14:15" x14ac:dyDescent="0.25">
      <c r="N288" s="37"/>
      <c r="O288" s="37"/>
    </row>
    <row r="289" spans="14:15" x14ac:dyDescent="0.25">
      <c r="N289" s="37"/>
      <c r="O289" s="37"/>
    </row>
    <row r="290" spans="14:15" x14ac:dyDescent="0.25">
      <c r="N290" s="37"/>
      <c r="O290" s="37"/>
    </row>
    <row r="291" spans="14:15" x14ac:dyDescent="0.25">
      <c r="N291" s="37"/>
      <c r="O291" s="37"/>
    </row>
    <row r="292" spans="14:15" x14ac:dyDescent="0.25">
      <c r="N292" s="37"/>
      <c r="O292" s="37"/>
    </row>
    <row r="293" spans="14:15" x14ac:dyDescent="0.25">
      <c r="N293" s="37"/>
      <c r="O293" s="37"/>
    </row>
    <row r="294" spans="14:15" x14ac:dyDescent="0.25">
      <c r="N294" s="37"/>
      <c r="O294" s="37"/>
    </row>
    <row r="295" spans="14:15" x14ac:dyDescent="0.25">
      <c r="N295" s="37"/>
      <c r="O295" s="37"/>
    </row>
    <row r="296" spans="14:15" x14ac:dyDescent="0.25">
      <c r="N296" s="37"/>
      <c r="O296" s="37"/>
    </row>
    <row r="297" spans="14:15" x14ac:dyDescent="0.25">
      <c r="N297" s="37"/>
      <c r="O297" s="37"/>
    </row>
    <row r="298" spans="14:15" x14ac:dyDescent="0.25">
      <c r="N298" s="37"/>
      <c r="O298" s="37"/>
    </row>
    <row r="299" spans="14:15" x14ac:dyDescent="0.25">
      <c r="N299" s="37"/>
      <c r="O299" s="37"/>
    </row>
    <row r="300" spans="14:15" x14ac:dyDescent="0.25">
      <c r="N300" s="37"/>
    </row>
  </sheetData>
  <sheetProtection sheet="1" objects="1" scenarios="1"/>
  <phoneticPr fontId="17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8F3537-22EC-49A9-B9C9-B2B6794E3A53}">
  <sheetPr codeName="Sheet8">
    <tabColor theme="6"/>
  </sheetPr>
  <dimension ref="A1:E26"/>
  <sheetViews>
    <sheetView showGridLines="0" workbookViewId="0">
      <selection activeCell="F32" sqref="F32"/>
    </sheetView>
  </sheetViews>
  <sheetFormatPr defaultRowHeight="15" x14ac:dyDescent="0.25"/>
  <cols>
    <col min="1" max="1" width="13.140625" bestFit="1" customWidth="1"/>
    <col min="2" max="2" width="17.85546875" bestFit="1" customWidth="1"/>
    <col min="4" max="4" width="13.140625" bestFit="1" customWidth="1"/>
    <col min="5" max="5" width="21.7109375" bestFit="1" customWidth="1"/>
    <col min="7" max="7" width="13.42578125" bestFit="1" customWidth="1"/>
    <col min="8" max="8" width="17.85546875" bestFit="1" customWidth="1"/>
    <col min="10" max="10" width="13.140625" bestFit="1" customWidth="1"/>
    <col min="11" max="11" width="21.7109375" bestFit="1" customWidth="1"/>
    <col min="13" max="13" width="13.140625" bestFit="1" customWidth="1"/>
    <col min="14" max="14" width="22.28515625" bestFit="1" customWidth="1"/>
    <col min="16" max="16" width="13.140625" bestFit="1" customWidth="1"/>
    <col min="17" max="17" width="22.28515625" bestFit="1" customWidth="1"/>
  </cols>
  <sheetData>
    <row r="1" spans="1:5" x14ac:dyDescent="0.25">
      <c r="A1" s="57" t="s">
        <v>59</v>
      </c>
      <c r="B1" t="s">
        <v>61</v>
      </c>
      <c r="D1" s="57" t="s">
        <v>59</v>
      </c>
      <c r="E1" t="s">
        <v>61</v>
      </c>
    </row>
    <row r="2" spans="1:5" x14ac:dyDescent="0.25">
      <c r="A2" s="58" t="s">
        <v>21</v>
      </c>
      <c r="B2" s="59">
        <v>121900</v>
      </c>
      <c r="D2" s="58" t="s">
        <v>57</v>
      </c>
      <c r="E2" s="59">
        <v>150</v>
      </c>
    </row>
    <row r="3" spans="1:5" x14ac:dyDescent="0.25">
      <c r="A3" s="58" t="s">
        <v>52</v>
      </c>
      <c r="B3" s="59">
        <v>150</v>
      </c>
      <c r="D3" s="58" t="s">
        <v>58</v>
      </c>
      <c r="E3" s="59">
        <v>30000</v>
      </c>
    </row>
    <row r="4" spans="1:5" x14ac:dyDescent="0.25">
      <c r="A4" s="58" t="s">
        <v>23</v>
      </c>
      <c r="B4" s="59">
        <v>30000</v>
      </c>
      <c r="D4" s="58" t="s">
        <v>56</v>
      </c>
      <c r="E4" s="59">
        <v>271900</v>
      </c>
    </row>
    <row r="5" spans="1:5" x14ac:dyDescent="0.25">
      <c r="A5" s="58" t="s">
        <v>20</v>
      </c>
      <c r="B5" s="59">
        <v>150000</v>
      </c>
      <c r="D5" s="58" t="s">
        <v>373</v>
      </c>
      <c r="E5" s="59">
        <v>0</v>
      </c>
    </row>
    <row r="6" spans="1:5" x14ac:dyDescent="0.25">
      <c r="A6" s="58" t="s">
        <v>373</v>
      </c>
      <c r="B6" s="59">
        <v>0</v>
      </c>
      <c r="D6" s="58" t="s">
        <v>60</v>
      </c>
      <c r="E6" s="59">
        <v>302050</v>
      </c>
    </row>
    <row r="7" spans="1:5" x14ac:dyDescent="0.25">
      <c r="A7" s="58" t="s">
        <v>60</v>
      </c>
      <c r="B7" s="59">
        <v>302050</v>
      </c>
    </row>
    <row r="10" spans="1:5" x14ac:dyDescent="0.25">
      <c r="A10" s="57" t="s">
        <v>59</v>
      </c>
      <c r="B10" t="s">
        <v>62</v>
      </c>
      <c r="D10" s="57" t="s">
        <v>59</v>
      </c>
      <c r="E10" t="s">
        <v>63</v>
      </c>
    </row>
    <row r="11" spans="1:5" x14ac:dyDescent="0.25">
      <c r="A11" s="58" t="s">
        <v>21</v>
      </c>
      <c r="B11" s="59">
        <v>2</v>
      </c>
      <c r="D11" s="58" t="s">
        <v>42</v>
      </c>
      <c r="E11" s="59">
        <v>1</v>
      </c>
    </row>
    <row r="12" spans="1:5" x14ac:dyDescent="0.25">
      <c r="A12" s="58" t="s">
        <v>52</v>
      </c>
      <c r="B12" s="59">
        <v>1</v>
      </c>
      <c r="D12" s="58" t="s">
        <v>51</v>
      </c>
      <c r="E12" s="59">
        <v>1</v>
      </c>
    </row>
    <row r="13" spans="1:5" x14ac:dyDescent="0.25">
      <c r="A13" s="58" t="s">
        <v>23</v>
      </c>
      <c r="B13" s="59">
        <v>1</v>
      </c>
      <c r="D13" s="58" t="s">
        <v>45</v>
      </c>
      <c r="E13" s="59">
        <v>3</v>
      </c>
    </row>
    <row r="14" spans="1:5" x14ac:dyDescent="0.25">
      <c r="A14" s="58" t="s">
        <v>20</v>
      </c>
      <c r="B14" s="59">
        <v>3</v>
      </c>
      <c r="D14" s="58" t="s">
        <v>41</v>
      </c>
      <c r="E14" s="59">
        <v>1</v>
      </c>
    </row>
    <row r="15" spans="1:5" x14ac:dyDescent="0.25">
      <c r="A15" s="58" t="s">
        <v>373</v>
      </c>
      <c r="B15" s="59"/>
      <c r="D15" s="58" t="s">
        <v>373</v>
      </c>
      <c r="E15" s="59"/>
    </row>
    <row r="16" spans="1:5" x14ac:dyDescent="0.25">
      <c r="A16" s="58" t="s">
        <v>60</v>
      </c>
      <c r="B16" s="59">
        <v>7</v>
      </c>
      <c r="D16" s="58" t="s">
        <v>60</v>
      </c>
      <c r="E16" s="59">
        <v>6</v>
      </c>
    </row>
    <row r="19" spans="1:5" x14ac:dyDescent="0.25">
      <c r="A19" s="57" t="s">
        <v>59</v>
      </c>
      <c r="B19" t="s">
        <v>70</v>
      </c>
      <c r="D19" s="57" t="s">
        <v>59</v>
      </c>
      <c r="E19" t="s">
        <v>71</v>
      </c>
    </row>
    <row r="20" spans="1:5" x14ac:dyDescent="0.25">
      <c r="A20" s="58" t="s">
        <v>66</v>
      </c>
      <c r="B20" s="59">
        <v>3</v>
      </c>
      <c r="D20" s="58" t="s">
        <v>66</v>
      </c>
      <c r="E20" s="59">
        <v>33</v>
      </c>
    </row>
    <row r="21" spans="1:5" x14ac:dyDescent="0.25">
      <c r="A21" s="58" t="s">
        <v>69</v>
      </c>
      <c r="B21" s="59">
        <v>4</v>
      </c>
      <c r="D21" s="58" t="s">
        <v>69</v>
      </c>
      <c r="E21" s="59">
        <v>7</v>
      </c>
    </row>
    <row r="22" spans="1:5" x14ac:dyDescent="0.25">
      <c r="A22" s="60" t="s">
        <v>64</v>
      </c>
      <c r="B22" s="59">
        <v>2</v>
      </c>
      <c r="D22" s="60" t="s">
        <v>64</v>
      </c>
      <c r="E22" s="59">
        <v>4</v>
      </c>
    </row>
    <row r="23" spans="1:5" x14ac:dyDescent="0.25">
      <c r="A23" s="60" t="s">
        <v>67</v>
      </c>
      <c r="B23" s="59">
        <v>1</v>
      </c>
      <c r="D23" s="60" t="s">
        <v>67</v>
      </c>
      <c r="E23" s="59">
        <v>3</v>
      </c>
    </row>
    <row r="24" spans="1:5" x14ac:dyDescent="0.25">
      <c r="A24" s="60" t="s">
        <v>65</v>
      </c>
      <c r="B24" s="59">
        <v>1</v>
      </c>
      <c r="D24" s="58" t="s">
        <v>60</v>
      </c>
      <c r="E24" s="59">
        <v>40</v>
      </c>
    </row>
    <row r="25" spans="1:5" x14ac:dyDescent="0.25">
      <c r="A25" s="61" t="s">
        <v>68</v>
      </c>
      <c r="B25" s="59">
        <v>1</v>
      </c>
    </row>
    <row r="26" spans="1:5" x14ac:dyDescent="0.25">
      <c r="A26" s="58" t="s">
        <v>60</v>
      </c>
      <c r="B26" s="59">
        <v>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6</vt:i4>
      </vt:variant>
    </vt:vector>
  </HeadingPairs>
  <TitlesOfParts>
    <vt:vector size="12" baseType="lpstr">
      <vt:lpstr>Instruction</vt:lpstr>
      <vt:lpstr>GUI</vt:lpstr>
      <vt:lpstr>Summary</vt:lpstr>
      <vt:lpstr>Sortable_TB</vt:lpstr>
      <vt:lpstr>Data</vt:lpstr>
      <vt:lpstr>PivoteTB</vt:lpstr>
      <vt:lpstr>action</vt:lpstr>
      <vt:lpstr>lookup</vt:lpstr>
      <vt:lpstr>Summary!Print_Area</vt:lpstr>
      <vt:lpstr>raw_data</vt:lpstr>
      <vt:lpstr>search</vt:lpstr>
      <vt:lpstr>search2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ACM05</dc:creator>
  <cp:lastModifiedBy>ACM05</cp:lastModifiedBy>
  <cp:lastPrinted>2019-09-18T17:50:30Z</cp:lastPrinted>
  <dcterms:created xsi:type="dcterms:W3CDTF">2015-06-05T18:17:20Z</dcterms:created>
  <dcterms:modified xsi:type="dcterms:W3CDTF">2019-09-30T17:54:58Z</dcterms:modified>
</cp:coreProperties>
</file>